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0558\EXCELCNV\d4fb9959-8070-44ac-8cea-66f2e41a88b0\"/>
    </mc:Choice>
  </mc:AlternateContent>
  <xr:revisionPtr revIDLastSave="0" documentId="8_{169080F3-AAC2-42EA-8098-13F7271C91C0}" xr6:coauthVersionLast="47" xr6:coauthVersionMax="47" xr10:uidLastSave="{00000000-0000-0000-0000-000000000000}"/>
  <bookViews>
    <workbookView xWindow="-60" yWindow="-60" windowWidth="15480" windowHeight="11640" xr2:uid="{0BD7E72D-0CEE-4672-B043-D941C333FCDD}"/>
  </bookViews>
  <sheets>
    <sheet name="Excluded_Terms" sheetId="3" r:id="rId1"/>
    <sheet name="allTerms" sheetId="1" r:id="rId2"/>
    <sheet name="sonificationORaudification" sheetId="2" r:id="rId3"/>
  </sheets>
  <definedNames>
    <definedName name="_xlnm._FilterDatabase" localSheetId="2" hidden="1">sonificationORaudification!$A$1:$G$201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3" i="1" l="1"/>
  <c r="L4" i="2" a="1"/>
  <c r="L4" i="2"/>
  <c r="C2" i="1"/>
  <c r="D88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" i="2"/>
  <c r="A1" i="3" s="1" a="1"/>
  <c r="A1" i="3" s="1"/>
  <c r="B20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8" i="1"/>
  <c r="D119" i="1"/>
  <c r="D121" i="1"/>
  <c r="D123" i="1"/>
  <c r="D124" i="1"/>
  <c r="D125" i="1"/>
  <c r="D127" i="1"/>
  <c r="D128" i="1"/>
  <c r="D129" i="1"/>
  <c r="D130" i="1"/>
  <c r="D133" i="1"/>
  <c r="D134" i="1"/>
  <c r="D135" i="1"/>
  <c r="D136" i="1"/>
  <c r="D137" i="1"/>
  <c r="D139" i="1"/>
  <c r="D140" i="1"/>
  <c r="D141" i="1"/>
  <c r="D142" i="1"/>
  <c r="D143" i="1"/>
  <c r="D144" i="1"/>
  <c r="D145" i="1"/>
  <c r="D146" i="1"/>
  <c r="D147" i="1"/>
  <c r="D148" i="1"/>
  <c r="D150" i="1"/>
  <c r="D151" i="1"/>
  <c r="D152" i="1"/>
  <c r="D153" i="1"/>
  <c r="D154" i="1"/>
  <c r="D155" i="1"/>
  <c r="D156" i="1"/>
  <c r="D157" i="1"/>
  <c r="D158" i="1"/>
  <c r="D160" i="1"/>
  <c r="D162" i="1"/>
  <c r="D163" i="1"/>
  <c r="D165" i="1"/>
  <c r="D166" i="1"/>
  <c r="D173" i="1"/>
  <c r="D174" i="1"/>
  <c r="D175" i="1"/>
  <c r="D176" i="1"/>
  <c r="D178" i="1"/>
  <c r="D179" i="1"/>
  <c r="D180" i="1"/>
  <c r="D181" i="1"/>
  <c r="D183" i="1"/>
  <c r="D184" i="1"/>
  <c r="D185" i="1"/>
  <c r="D186" i="1"/>
  <c r="D187" i="1"/>
  <c r="D188" i="1"/>
  <c r="D189" i="1"/>
  <c r="D190" i="1"/>
  <c r="D191" i="1"/>
  <c r="D192" i="1"/>
  <c r="D193" i="1"/>
  <c r="D196" i="1"/>
  <c r="D198" i="1"/>
  <c r="D20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8" i="1"/>
  <c r="C89" i="1"/>
  <c r="C90" i="1"/>
  <c r="C91" i="1"/>
  <c r="C92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8" i="1"/>
  <c r="C119" i="1"/>
  <c r="C121" i="1"/>
  <c r="C123" i="1"/>
  <c r="C124" i="1"/>
  <c r="C125" i="1"/>
  <c r="C127" i="1"/>
  <c r="C128" i="1"/>
  <c r="C129" i="1"/>
  <c r="C130" i="1"/>
  <c r="C133" i="1"/>
  <c r="C134" i="1"/>
  <c r="C135" i="1"/>
  <c r="C136" i="1"/>
  <c r="C137" i="1"/>
  <c r="C139" i="1"/>
  <c r="C140" i="1"/>
  <c r="C141" i="1"/>
  <c r="C142" i="1"/>
  <c r="C143" i="1"/>
  <c r="C144" i="1"/>
  <c r="C145" i="1"/>
  <c r="C146" i="1"/>
  <c r="C147" i="1"/>
  <c r="C148" i="1"/>
  <c r="C150" i="1"/>
  <c r="C151" i="1"/>
  <c r="C152" i="1"/>
  <c r="C153" i="1"/>
  <c r="C154" i="1"/>
  <c r="C155" i="1"/>
  <c r="C156" i="1"/>
  <c r="C157" i="1"/>
  <c r="C158" i="1"/>
  <c r="C160" i="1"/>
  <c r="C162" i="1"/>
  <c r="C163" i="1"/>
  <c r="C165" i="1"/>
  <c r="C166" i="1"/>
  <c r="C173" i="1"/>
  <c r="C174" i="1"/>
  <c r="C175" i="1"/>
  <c r="C176" i="1"/>
  <c r="C178" i="1"/>
  <c r="C179" i="1"/>
  <c r="C180" i="1"/>
  <c r="C181" i="1"/>
  <c r="C183" i="1"/>
  <c r="C184" i="1"/>
  <c r="C185" i="1"/>
  <c r="C186" i="1"/>
  <c r="C187" i="1"/>
  <c r="C188" i="1"/>
  <c r="C189" i="1"/>
  <c r="C190" i="1"/>
  <c r="C191" i="1"/>
  <c r="C192" i="1"/>
  <c r="C193" i="1"/>
  <c r="C196" i="1"/>
  <c r="C198" i="1"/>
  <c r="C200" i="1"/>
  <c r="B1" i="3" a="1"/>
  <c r="B1" i="3" s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<sst xmlns="http://schemas.openxmlformats.org/spreadsheetml/2006/main" count="705" uniqueCount="269">
  <si>
    <t>name</t>
  </si>
  <si>
    <t>count</t>
  </si>
  <si>
    <t>Include?</t>
  </si>
  <si>
    <t>Note</t>
  </si>
  <si>
    <t>Tactile and Sensory Interactions</t>
  </si>
  <si>
    <t>Music Technology and Sound Studies</t>
  </si>
  <si>
    <t>Hearing Loss and Rehabilitation</t>
  </si>
  <si>
    <t>Human-Automation Interaction and Safety</t>
  </si>
  <si>
    <t>Multisensory perception and integration</t>
  </si>
  <si>
    <t>Music and Audio Processing</t>
  </si>
  <si>
    <t>Noise Effects and Management</t>
  </si>
  <si>
    <t>Data Visualization and Analytics</t>
  </si>
  <si>
    <t>EEG and Brain-Computer Interfaces</t>
  </si>
  <si>
    <t>Healthcare Technology and Patient Monitoring</t>
  </si>
  <si>
    <t>Neuroscience and Music Perception</t>
  </si>
  <si>
    <t>Innovative Human-Technology Interaction</t>
  </si>
  <si>
    <t>Plant and Biological Electrophysiology Studies</t>
  </si>
  <si>
    <t>Diverse Musicological Studies</t>
  </si>
  <si>
    <t>Action Observation and Synchronization</t>
  </si>
  <si>
    <t>Speech and Audio Processing</t>
  </si>
  <si>
    <t>Music Therapy and Health</t>
  </si>
  <si>
    <t>Virtual Reality Applications and Impacts</t>
  </si>
  <si>
    <t>Interactive and Immersive Displays</t>
  </si>
  <si>
    <t>Design Education and Practice</t>
  </si>
  <si>
    <t>Augmented Reality Applications</t>
  </si>
  <si>
    <t>3D Surveying and Cultural Heritage</t>
  </si>
  <si>
    <t>Underwater Acoustics Research</t>
  </si>
  <si>
    <t>Ultrasound and Cavitation Phenomena</t>
  </si>
  <si>
    <t>Vehicle Noise and Vibration Control</t>
  </si>
  <si>
    <t>Architecture and Computational Design</t>
  </si>
  <si>
    <t>Teleoperation and Haptic Systems</t>
  </si>
  <si>
    <t>Safety Warnings and Signage</t>
  </si>
  <si>
    <t>Neural dynamics and brain function</t>
  </si>
  <si>
    <t>Color perception and design</t>
  </si>
  <si>
    <t>Multimedia Communication and Technology</t>
  </si>
  <si>
    <t>Hermeneutics and Narrative Identity</t>
  </si>
  <si>
    <t>Ultrasound and Hyperthermia Applications</t>
  </si>
  <si>
    <t>Speech and dialogue systems</t>
  </si>
  <si>
    <t>Time Series Analysis and Forecasting</t>
  </si>
  <si>
    <t>Stroke Rehabilitation and Recovery</t>
  </si>
  <si>
    <t>Human Motion and Animation</t>
  </si>
  <si>
    <t>Phonocardiography and Auscultation Techniques</t>
  </si>
  <si>
    <t>Advanced Chemical Sensor Technologies</t>
  </si>
  <si>
    <t>Simulation and Modeling Applications</t>
  </si>
  <si>
    <t>Visual perception and processing mechanisms</t>
  </si>
  <si>
    <t>Marine animal studies overview</t>
  </si>
  <si>
    <t>Music History and Culture</t>
  </si>
  <si>
    <t>Balance, Gait, and Falls Prevention</t>
  </si>
  <si>
    <t>ECG Monitoring and Analysis</t>
  </si>
  <si>
    <t>Seismic Waves and Analysis</t>
  </si>
  <si>
    <t>Computational Physics and Python Applications</t>
  </si>
  <si>
    <t>Motor Control and Adaptation</t>
  </si>
  <si>
    <t>Cognitive Science and Education Research</t>
  </si>
  <si>
    <t>Carbon Nanotubes in Composites</t>
  </si>
  <si>
    <t>Advanced Polymer Synthesis and Characterization</t>
  </si>
  <si>
    <t>Musicology and Musical Analysis</t>
  </si>
  <si>
    <t>Advanced Sensor and Energy Harvesting Materials</t>
  </si>
  <si>
    <t>Context-Aware Activity Recognition Systems</t>
  </si>
  <si>
    <t>Advanced Vision and Imaging</t>
  </si>
  <si>
    <t>Ultrasonics and Acoustic Wave Propagation</t>
  </si>
  <si>
    <t>Muscle activation and electromyography studies</t>
  </si>
  <si>
    <t>Language, Metaphor, and Cognition</t>
  </si>
  <si>
    <t>Animal Vocal Communication and Behavior</t>
  </si>
  <si>
    <t>Aesthetic Perception and Analysis</t>
  </si>
  <si>
    <t>Science Education and Perceptions</t>
  </si>
  <si>
    <t>Analytical chemistry methods development</t>
  </si>
  <si>
    <t>Software Engineering Research</t>
  </si>
  <si>
    <t>Anaerobic Digestion and Biogas Production</t>
  </si>
  <si>
    <t>Neural Networks and Applications</t>
  </si>
  <si>
    <t>Algal biology and biofuel production</t>
  </si>
  <si>
    <t>Heart Rate Variability and Autonomic Control</t>
  </si>
  <si>
    <t>BIM and Construction Integration</t>
  </si>
  <si>
    <t>Advanced Optical Imaging Technologies</t>
  </si>
  <si>
    <t>Spatial Cognition and Navigation</t>
  </si>
  <si>
    <t>Y</t>
  </si>
  <si>
    <t>-</t>
  </si>
  <si>
    <t>Personal Information Management and User Behavior</t>
  </si>
  <si>
    <t>Visual Culture and Art Theory</t>
  </si>
  <si>
    <t>Space Science and Extraterrestrial Life</t>
  </si>
  <si>
    <t>History and Developments in Astronomy</t>
  </si>
  <si>
    <t>Cybernetics and Technology in Society</t>
  </si>
  <si>
    <t>Media, Communication, and Education</t>
  </si>
  <si>
    <t>Photosynthetic Processes and Mechanisms</t>
  </si>
  <si>
    <t>Advanced Cellulose Research Studies</t>
  </si>
  <si>
    <t>Quantum Mechanics and Applications</t>
  </si>
  <si>
    <t>Geographies of human-animal interactions</t>
  </si>
  <si>
    <t>Machine Learning in Materials Science</t>
  </si>
  <si>
    <t>Slime Mold and Myxomycetes Research</t>
  </si>
  <si>
    <t>Lipid Membrane Structure and Behavior</t>
  </si>
  <si>
    <t>Soil and Unsaturated Flow</t>
  </si>
  <si>
    <t>Visual and Cognitive Learning Processes</t>
  </si>
  <si>
    <t>Ergonomics and Musculoskeletal Disorders</t>
  </si>
  <si>
    <t>Diversity and Impact of Dance</t>
  </si>
  <si>
    <t>Seismology and Earthquake Studies</t>
  </si>
  <si>
    <t>Artistic and Creative Research</t>
  </si>
  <si>
    <t>Radio, Podcasts, and Digital Media</t>
  </si>
  <si>
    <t>Sound Studies and Aurality</t>
  </si>
  <si>
    <t>Art, Technology, and Culture</t>
  </si>
  <si>
    <t>Usability and User Interface Design</t>
  </si>
  <si>
    <t>Biodiesel Production and Applications</t>
  </si>
  <si>
    <t>Posthumanist Ethics and Activism</t>
  </si>
  <si>
    <t>Acoustic Wave Phenomena Research</t>
  </si>
  <si>
    <t>Microfluidic and Bio-sensing Technologies</t>
  </si>
  <si>
    <t>Hearing Impairment and Communication</t>
  </si>
  <si>
    <t>Orthopedic Infections and Treatments</t>
  </si>
  <si>
    <t>Microbial Inactivation Methods</t>
  </si>
  <si>
    <t>Experimental and Theoretical Physics Studies</t>
  </si>
  <si>
    <t>Cell Image Analysis Techniques</t>
  </si>
  <si>
    <t>Soil Carbon and Nitrogen Dynamics</t>
  </si>
  <si>
    <t>Nanofluid Flow and Heat Transfer</t>
  </si>
  <si>
    <t>Sports Performance and Training</t>
  </si>
  <si>
    <t>Aquatic Ecosystems and Phytoplankton Dynamics</t>
  </si>
  <si>
    <t>Oral microbiology and periodontitis research</t>
  </si>
  <si>
    <t>Mitochondrial Function and Pathology</t>
  </si>
  <si>
    <t>Polymer Nanocomposites and Properties</t>
  </si>
  <si>
    <t>biodegradable polymer synthesis and properties</t>
  </si>
  <si>
    <t>Quantum Computing Algorithms and Architecture</t>
  </si>
  <si>
    <t>Geographic Information Systems Studies</t>
  </si>
  <si>
    <t>Cinema and Media Studies</t>
  </si>
  <si>
    <t>Sport Psychology and Performance</t>
  </si>
  <si>
    <t>Manufacturing Process and Optimization</t>
  </si>
  <si>
    <t>Underwater Vehicles and Communication Systems</t>
  </si>
  <si>
    <t>N</t>
  </si>
  <si>
    <t>dominated by underwater acoustics</t>
  </si>
  <si>
    <t>Digital Games and Media</t>
  </si>
  <si>
    <t>Video Analysis and Summarization</t>
  </si>
  <si>
    <t>Geophysical Methods and Applications</t>
  </si>
  <si>
    <t>but note papers about vibrations and measuring vibrations</t>
  </si>
  <si>
    <t>User Authentication and Security Systems</t>
  </si>
  <si>
    <t>Aerospace and Aviation Technology</t>
  </si>
  <si>
    <t>Polar Research and Ecology</t>
  </si>
  <si>
    <t>Maritime and Coastal Archaeology</t>
  </si>
  <si>
    <t>Advanced Text Analysis Techniques</t>
  </si>
  <si>
    <t>Human auditory perception and evaluation</t>
  </si>
  <si>
    <t>Cultural Insights and Digital Impacts</t>
  </si>
  <si>
    <t>Environmental Monitoring and Data Management</t>
  </si>
  <si>
    <t>Membrane Separation Technologies</t>
  </si>
  <si>
    <t>Essential Oils and Antimicrobial Activity</t>
  </si>
  <si>
    <t>Social Robot Interaction and HRI</t>
  </si>
  <si>
    <t>Ultrasound Imaging and Elastography</t>
  </si>
  <si>
    <t>ultrasound</t>
  </si>
  <si>
    <t>Image Retrieval and Classification Techniques</t>
  </si>
  <si>
    <t>Complex Systems and Time Series Analysis</t>
  </si>
  <si>
    <t>Theatre and Performance Studies</t>
  </si>
  <si>
    <t>Hand Gesture Recognition Systems</t>
  </si>
  <si>
    <t>Climate Change Communication and Perception</t>
  </si>
  <si>
    <t>Evacuation and Crowd Dynamics</t>
  </si>
  <si>
    <t>Clay minerals and soil interactions</t>
  </si>
  <si>
    <t>Embodied and Extended Cognition</t>
  </si>
  <si>
    <t>Food Quality and Safety Studies</t>
  </si>
  <si>
    <t>Earthquake Detection and Analysis</t>
  </si>
  <si>
    <t>Neural Networks and Reservoir Computing</t>
  </si>
  <si>
    <t>Arduino and IoT Applications</t>
  </si>
  <si>
    <t>Natural Products and Applications</t>
  </si>
  <si>
    <t>Technology and Human Factors in Education and Health</t>
  </si>
  <si>
    <t>Geology and Paleoclimatology Research</t>
  </si>
  <si>
    <t>Phytochemicals and Antioxidant Activities</t>
  </si>
  <si>
    <t>Neural and Behavioral Psychology Studies</t>
  </si>
  <si>
    <t>just about perception</t>
  </si>
  <si>
    <t>Advanced Photocatalysis Techniques</t>
  </si>
  <si>
    <t>Sperm and Testicular Function</t>
  </si>
  <si>
    <t>Solar and Space Plasma Dynamics</t>
  </si>
  <si>
    <t>Cutaneous Melanoma Detection and Management</t>
  </si>
  <si>
    <t>Natural Fiber Reinforced Composites</t>
  </si>
  <si>
    <t>RNA and protein synthesis mechanisms</t>
  </si>
  <si>
    <t>Glycosylation and Glycoproteins Research</t>
  </si>
  <si>
    <t>Emotion and Mood Recognition</t>
  </si>
  <si>
    <t>Analytical Chemistry and Chromatography</t>
  </si>
  <si>
    <t>Microbial Metabolic Engineering and Bioproduction</t>
  </si>
  <si>
    <t>Phase Change Materials Research</t>
  </si>
  <si>
    <t>Olfactory and Sensory Function Studies</t>
  </si>
  <si>
    <t>Advanced Malware Detection Techniques</t>
  </si>
  <si>
    <t>Soil and Water Nutrient Dynamics</t>
  </si>
  <si>
    <t>Microbial infections and disease research</t>
  </si>
  <si>
    <t>Big Data and Business Intelligence</t>
  </si>
  <si>
    <t>Pickering emulsions and particle stabilization</t>
  </si>
  <si>
    <t>Photoacoustic and Ultrasonic Imaging</t>
  </si>
  <si>
    <t>Various Chemistry Research Topics</t>
  </si>
  <si>
    <t>Spacecraft Design and Technology</t>
  </si>
  <si>
    <t>Ecocriticism and Environmental Literature</t>
  </si>
  <si>
    <t>Digital Accessibility for Disabilities</t>
  </si>
  <si>
    <t>Water Quality Monitoring Technologies</t>
  </si>
  <si>
    <t>Electrohydrodynamics and Fluid Dynamics</t>
  </si>
  <si>
    <t>Material Properties and Applications</t>
  </si>
  <si>
    <t>Environmental, Ecological, and Cultural Studies</t>
  </si>
  <si>
    <t>Digital Media and Philosophy</t>
  </si>
  <si>
    <t>Space Exploration and Technology</t>
  </si>
  <si>
    <t>Advancements in Battery Materials</t>
  </si>
  <si>
    <t>Neuroscience and Neuropharmacology Research</t>
  </si>
  <si>
    <t>Nanoparticles: synthesis and applications</t>
  </si>
  <si>
    <t>Graphene research and applications</t>
  </si>
  <si>
    <t>Epilepsy research and treatment</t>
  </si>
  <si>
    <t>Gold and Silver Nanoparticles Synthesis and Applications</t>
  </si>
  <si>
    <t>Biofuel production and bioconversion</t>
  </si>
  <si>
    <t>Supercapacitor Materials and Fabrication</t>
  </si>
  <si>
    <t>Semantic Web and Ontologies</t>
  </si>
  <si>
    <t>Cell death mechanisms and regulation</t>
  </si>
  <si>
    <t>Computer Graphics and Visualization Techniques</t>
  </si>
  <si>
    <t>Teaching and Learning Programming</t>
  </si>
  <si>
    <t>Wastewater Treatment and Nitrogen Removal</t>
  </si>
  <si>
    <t>Conducting polymers and applications</t>
  </si>
  <si>
    <t>Advancements in Transdermal Drug Delivery</t>
  </si>
  <si>
    <t>Soft Robotics and Applications</t>
  </si>
  <si>
    <t>Data Management and Algorithms</t>
  </si>
  <si>
    <t>Non-Invasive Vital Sign Monitoring</t>
  </si>
  <si>
    <t>Calcium Carbonate Crystallization and Inhibition</t>
  </si>
  <si>
    <t>Experimental Learning in Engineering</t>
  </si>
  <si>
    <t>Bee Products Chemical Analysis</t>
  </si>
  <si>
    <t>Face recognition and analysis</t>
  </si>
  <si>
    <t>Museums and Cultural Heritage</t>
  </si>
  <si>
    <t>Neuroscience and Neural Engineering</t>
  </si>
  <si>
    <t>in allTerms?</t>
  </si>
  <si>
    <t>Topic title doesn't seem to have much to do with the papers which do include ones on sonification</t>
  </si>
  <si>
    <t>y</t>
  </si>
  <si>
    <t>Although, as might be expected quite a few papers about using sonification of bodily measurements to monitor patients' condition</t>
  </si>
  <si>
    <t>Quite a lot about moving to sounds for rehabilitation</t>
  </si>
  <si>
    <t>some of the papers are sonification of ocean data</t>
  </si>
  <si>
    <t>Mix of using sound in electric cars, but also sonification of data from cars</t>
  </si>
  <si>
    <t>sonification in rehab</t>
  </si>
  <si>
    <t>contains a few papers which are sonication, but also some sonification</t>
  </si>
  <si>
    <t>Chris: Includes sonification handbook! Carol: papers broader than topic would suggest and include sonification</t>
  </si>
  <si>
    <t>a couple of sonification papers included</t>
  </si>
  <si>
    <t>a few sonification papers included</t>
  </si>
  <si>
    <t>although also includes a paper on isolation of E.Coli resistant to sonic disintegration!</t>
  </si>
  <si>
    <t>One sonification paper https://www.cell.com/matter/fulltext/S2590-2385(21)00455-0</t>
  </si>
  <si>
    <t>Notice that the results also include referee reports which we probably don't want to include in analysis.</t>
  </si>
  <si>
    <t>new term: sonorization!</t>
  </si>
  <si>
    <t>its all in french. the ones from CERN seem related.</t>
  </si>
  <si>
    <t xml:space="preserve">thought it would be earcons, but some are related to broader data sonification </t>
  </si>
  <si>
    <t>One zenodo entry is repeated 5 times, but looks relevant.</t>
  </si>
  <si>
    <t>3 are relevant</t>
  </si>
  <si>
    <t>one entry repeated 3 times</t>
  </si>
  <si>
    <t>4 seem to be assignments at university of sydney, perhaps for sonification course</t>
  </si>
  <si>
    <t>If we are including sonification of movement</t>
  </si>
  <si>
    <t>one relevant: https://repository.gatech.edu/handle/1853/61512</t>
  </si>
  <si>
    <t>sonification of body movement</t>
  </si>
  <si>
    <t>Mycotoxins in Agriculture and Food</t>
  </si>
  <si>
    <t>one seems relevant: https://link.springer.com/article/10.1007/s00146-011-0358-y</t>
  </si>
  <si>
    <t>body movement direct sonification</t>
  </si>
  <si>
    <t>Applying sonification seems to be a ultra-sound like technique</t>
  </si>
  <si>
    <t>Paranormal Experiences and Beliefs</t>
  </si>
  <si>
    <t>Ha Ha! One of my papers is under this category!</t>
  </si>
  <si>
    <t>Digital Storytelling and Education</t>
  </si>
  <si>
    <t>Winter Sports Injuries and Performance</t>
  </si>
  <si>
    <t>Genetics, Bioinformatics, and Biomedical Research</t>
  </si>
  <si>
    <t>Adsorption and biosorption for pollutant removal</t>
  </si>
  <si>
    <t>Ultra-sonic type treatment</t>
  </si>
  <si>
    <t>Protein Structure and Dynamics</t>
  </si>
  <si>
    <t>Nanoparticle-Based Drug Delivery</t>
  </si>
  <si>
    <t>Musculoskeletal pain and rehabilitation</t>
  </si>
  <si>
    <t>Luminescence Properties of Advanced Materials</t>
  </si>
  <si>
    <t>Ionosphere and magnetosphere dynamics</t>
  </si>
  <si>
    <t>Drug Solubulity and Delivery Systems</t>
  </si>
  <si>
    <t>Immune Response and Inflammation</t>
  </si>
  <si>
    <t>Neurobiology and Insect Physiology Research</t>
  </si>
  <si>
    <t>1/3 relevant</t>
  </si>
  <si>
    <t>Postharvest Quality and Shelf Life Management</t>
  </si>
  <si>
    <t>Ion channel regulation and function</t>
  </si>
  <si>
    <t>Advanced Proteomics Techniques and Applications</t>
  </si>
  <si>
    <t>Bacterial biofilms and quorum sensing</t>
  </si>
  <si>
    <t>Mindfulness and Compassion Interventions</t>
  </si>
  <si>
    <t>Surfactants and Colloidal Systems</t>
  </si>
  <si>
    <t>RNA Interference and Gene Delivery</t>
  </si>
  <si>
    <t>Educational Games and Gamification</t>
  </si>
  <si>
    <t>Platelet Disorders and Treatments</t>
  </si>
  <si>
    <t>Fermentation and Sensory Analysis</t>
  </si>
  <si>
    <t>Advanced Multi-Objective Optimization Algorithms</t>
  </si>
  <si>
    <t>Advanced Drug Delivery Systems</t>
  </si>
  <si>
    <t>Force Microscopy Techniques and Applications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</si>
</sst>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16" fillId="0" borderId="0" xfId="0" applyFont="1"/>
    <xf numFmtId="0" fontId="0" fillId="37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69125-AD66-4A23-898E-3101D7ED6208}">
  <dimension ref="A1:B57"/>
  <sheetViews>
    <sheetView tabSelected="1" workbookViewId="0">
      <selection activeCell="A14" sqref="A14"/>
    </sheetView>
  </sheetViews>
  <sheetFormatPr defaultRowHeight="15"/>
  <cols>
    <col min="1" max="1" width="51.85546875" bestFit="1" customWidth="1"/>
  </cols>
  <sheetData>
    <row r="1" spans="1:2">
      <c r="A1" t="str" cm="1">
        <f t="array" aca="1" ref="A1:A14" ca="1">_xlfn._xlws.FILTER(sonificationORaudification!A1:'sonificationORaudification'!A202,(sonificationORaudification!C1:'sonificationORaudification'!C202="N")*(sonificationORaudification!G1:'sonificationORaudification'!G202="Missing"))</f>
        <v>Mycotoxins in Agriculture and Food</v>
      </c>
      <c r="B1" t="str" cm="1">
        <f t="array" aca="1" ref="B1:B57" ca="1">_xlfn._xlws.FILTER(allTerms!A1:'allTerms'!A202,(allTerms!C1:'allTerms'!C202="N"))</f>
        <v>Ultrasound and Cavitation Phenomena</v>
      </c>
    </row>
    <row r="2" spans="1:2">
      <c r="A2" t="str">
        <f ca="1"/>
        <v>Adsorption and biosorption for pollutant removal</v>
      </c>
      <c r="B2" t="str">
        <f ca="1"/>
        <v>Ultrasound and Hyperthermia Applications</v>
      </c>
    </row>
    <row r="3" spans="1:2">
      <c r="A3" t="str">
        <f ca="1"/>
        <v>Nanoparticle-Based Drug Delivery</v>
      </c>
      <c r="B3" t="str">
        <f ca="1"/>
        <v>Carbon Nanotubes in Composites</v>
      </c>
    </row>
    <row r="4" spans="1:2">
      <c r="A4" t="str">
        <f ca="1"/>
        <v>Luminescence Properties of Advanced Materials</v>
      </c>
      <c r="B4" t="str">
        <f ca="1"/>
        <v>Advanced Polymer Synthesis and Characterization</v>
      </c>
    </row>
    <row r="5" spans="1:2">
      <c r="A5" t="str">
        <f ca="1"/>
        <v>Drug Solubulity and Delivery Systems</v>
      </c>
      <c r="B5" t="str">
        <f ca="1"/>
        <v>Ultrasonics and Acoustic Wave Propagation</v>
      </c>
    </row>
    <row r="6" spans="1:2">
      <c r="A6" t="str">
        <f ca="1"/>
        <v>Immune Response and Inflammation</v>
      </c>
      <c r="B6" t="str">
        <f ca="1"/>
        <v>Analytical chemistry methods development</v>
      </c>
    </row>
    <row r="7" spans="1:2">
      <c r="A7" t="str">
        <f ca="1"/>
        <v>Postharvest Quality and Shelf Life Management</v>
      </c>
      <c r="B7" t="str">
        <f ca="1"/>
        <v>Anaerobic Digestion and Biogas Production</v>
      </c>
    </row>
    <row r="8" spans="1:2">
      <c r="A8" t="str">
        <f ca="1"/>
        <v>Ion channel regulation and function</v>
      </c>
      <c r="B8" t="str">
        <f ca="1"/>
        <v>Algal biology and biofuel production</v>
      </c>
    </row>
    <row r="9" spans="1:2">
      <c r="A9" t="str">
        <f ca="1"/>
        <v>Advanced Proteomics Techniques and Applications</v>
      </c>
      <c r="B9" t="str">
        <f ca="1"/>
        <v>Photosynthetic Processes and Mechanisms</v>
      </c>
    </row>
    <row r="10" spans="1:2">
      <c r="A10" t="str">
        <f ca="1"/>
        <v>Bacterial biofilms and quorum sensing</v>
      </c>
      <c r="B10" t="str">
        <f ca="1"/>
        <v>Advanced Cellulose Research Studies</v>
      </c>
    </row>
    <row r="11" spans="1:2">
      <c r="A11" t="str">
        <f ca="1"/>
        <v>Surfactants and Colloidal Systems</v>
      </c>
      <c r="B11" t="str">
        <f ca="1"/>
        <v>Lipid Membrane Structure and Behavior</v>
      </c>
    </row>
    <row r="12" spans="1:2">
      <c r="A12" t="str">
        <f ca="1"/>
        <v>RNA Interference and Gene Delivery</v>
      </c>
      <c r="B12" t="str">
        <f ca="1"/>
        <v>Soil and Unsaturated Flow</v>
      </c>
    </row>
    <row r="13" spans="1:2">
      <c r="A13" t="str">
        <f ca="1"/>
        <v>Platelet Disorders and Treatments</v>
      </c>
      <c r="B13" t="str">
        <f ca="1"/>
        <v>Biodiesel Production and Applications</v>
      </c>
    </row>
    <row r="14" spans="1:2">
      <c r="A14" t="str">
        <f ca="1"/>
        <v>Advanced Drug Delivery Systems</v>
      </c>
      <c r="B14" t="str">
        <f ca="1"/>
        <v>Acoustic Wave Phenomena Research</v>
      </c>
    </row>
    <row r="15" spans="1:2">
      <c r="B15" t="str">
        <f ca="1"/>
        <v>Orthopedic Infections and Treatments</v>
      </c>
    </row>
    <row r="16" spans="1:2">
      <c r="B16" t="str">
        <f ca="1"/>
        <v>Soil Carbon and Nitrogen Dynamics</v>
      </c>
    </row>
    <row r="17" spans="2:2">
      <c r="B17" t="str">
        <f ca="1"/>
        <v>Nanofluid Flow and Heat Transfer</v>
      </c>
    </row>
    <row r="18" spans="2:2">
      <c r="B18" t="str">
        <f ca="1"/>
        <v>Aquatic Ecosystems and Phytoplankton Dynamics</v>
      </c>
    </row>
    <row r="19" spans="2:2">
      <c r="B19" t="str">
        <f ca="1"/>
        <v>Oral microbiology and periodontitis research</v>
      </c>
    </row>
    <row r="20" spans="2:2">
      <c r="B20" t="str">
        <f ca="1"/>
        <v>Mitochondrial Function and Pathology</v>
      </c>
    </row>
    <row r="21" spans="2:2">
      <c r="B21" t="str">
        <f ca="1"/>
        <v>Polymer Nanocomposites and Properties</v>
      </c>
    </row>
    <row r="22" spans="2:2">
      <c r="B22" t="str">
        <f ca="1"/>
        <v>biodegradable polymer synthesis and properties</v>
      </c>
    </row>
    <row r="23" spans="2:2">
      <c r="B23" t="str">
        <f ca="1"/>
        <v>Cinema and Media Studies</v>
      </c>
    </row>
    <row r="24" spans="2:2">
      <c r="B24" t="str">
        <f ca="1"/>
        <v>Underwater Vehicles and Communication Systems</v>
      </c>
    </row>
    <row r="25" spans="2:2">
      <c r="B25" t="str">
        <f ca="1"/>
        <v>Membrane Separation Technologies</v>
      </c>
    </row>
    <row r="26" spans="2:2">
      <c r="B26" t="str">
        <f ca="1"/>
        <v>Essential Oils and Antimicrobial Activity</v>
      </c>
    </row>
    <row r="27" spans="2:2">
      <c r="B27" t="str">
        <f ca="1"/>
        <v>Ultrasound Imaging and Elastography</v>
      </c>
    </row>
    <row r="28" spans="2:2">
      <c r="B28" t="str">
        <f ca="1"/>
        <v>Clay minerals and soil interactions</v>
      </c>
    </row>
    <row r="29" spans="2:2">
      <c r="B29" t="str">
        <f ca="1"/>
        <v>Food Quality and Safety Studies</v>
      </c>
    </row>
    <row r="30" spans="2:2">
      <c r="B30" t="str">
        <f ca="1"/>
        <v>Natural Products and Applications</v>
      </c>
    </row>
    <row r="31" spans="2:2">
      <c r="B31" t="str">
        <f ca="1"/>
        <v>Phytochemicals and Antioxidant Activities</v>
      </c>
    </row>
    <row r="32" spans="2:2">
      <c r="B32" t="str">
        <f ca="1"/>
        <v>Neural and Behavioral Psychology Studies</v>
      </c>
    </row>
    <row r="33" spans="2:2">
      <c r="B33" t="str">
        <f ca="1"/>
        <v>Advanced Photocatalysis Techniques</v>
      </c>
    </row>
    <row r="34" spans="2:2">
      <c r="B34" t="str">
        <f ca="1"/>
        <v>Sperm and Testicular Function</v>
      </c>
    </row>
    <row r="35" spans="2:2">
      <c r="B35" t="str">
        <f ca="1"/>
        <v>Natural Fiber Reinforced Composites</v>
      </c>
    </row>
    <row r="36" spans="2:2">
      <c r="B36" t="str">
        <f ca="1"/>
        <v>Glycosylation and Glycoproteins Research</v>
      </c>
    </row>
    <row r="37" spans="2:2">
      <c r="B37" t="str">
        <f ca="1"/>
        <v>Analytical Chemistry and Chromatography</v>
      </c>
    </row>
    <row r="38" spans="2:2">
      <c r="B38" t="str">
        <f ca="1"/>
        <v>Microbial Metabolic Engineering and Bioproduction</v>
      </c>
    </row>
    <row r="39" spans="2:2">
      <c r="B39" t="str">
        <f ca="1"/>
        <v>Phase Change Materials Research</v>
      </c>
    </row>
    <row r="40" spans="2:2">
      <c r="B40" t="str">
        <f ca="1"/>
        <v>Soil and Water Nutrient Dynamics</v>
      </c>
    </row>
    <row r="41" spans="2:2">
      <c r="B41" t="str">
        <f ca="1"/>
        <v>Microbial infections and disease research</v>
      </c>
    </row>
    <row r="42" spans="2:2">
      <c r="B42" t="str">
        <f ca="1"/>
        <v>Pickering emulsions and particle stabilization</v>
      </c>
    </row>
    <row r="43" spans="2:2">
      <c r="B43" t="str">
        <f ca="1"/>
        <v>Photoacoustic and Ultrasonic Imaging</v>
      </c>
    </row>
    <row r="44" spans="2:2">
      <c r="B44" t="str">
        <f ca="1"/>
        <v>Electrohydrodynamics and Fluid Dynamics</v>
      </c>
    </row>
    <row r="45" spans="2:2">
      <c r="B45" t="str">
        <f ca="1"/>
        <v>Material Properties and Applications</v>
      </c>
    </row>
    <row r="46" spans="2:2">
      <c r="B46" t="str">
        <f ca="1"/>
        <v>Advancements in Battery Materials</v>
      </c>
    </row>
    <row r="47" spans="2:2">
      <c r="B47" t="str">
        <f ca="1"/>
        <v>Neuroscience and Neuropharmacology Research</v>
      </c>
    </row>
    <row r="48" spans="2:2">
      <c r="B48" t="str">
        <f ca="1"/>
        <v>Nanoparticles: synthesis and applications</v>
      </c>
    </row>
    <row r="49" spans="2:2">
      <c r="B49" t="str">
        <f ca="1"/>
        <v>Graphene research and applications</v>
      </c>
    </row>
    <row r="50" spans="2:2">
      <c r="B50" t="str">
        <f ca="1"/>
        <v>Gold and Silver Nanoparticles Synthesis and Applications</v>
      </c>
    </row>
    <row r="51" spans="2:2">
      <c r="B51" t="str">
        <f ca="1"/>
        <v>Biofuel production and bioconversion</v>
      </c>
    </row>
    <row r="52" spans="2:2">
      <c r="B52" t="str">
        <f ca="1"/>
        <v>Supercapacitor Materials and Fabrication</v>
      </c>
    </row>
    <row r="53" spans="2:2">
      <c r="B53" t="str">
        <f ca="1"/>
        <v>Cell death mechanisms and regulation</v>
      </c>
    </row>
    <row r="54" spans="2:2">
      <c r="B54" t="str">
        <f ca="1"/>
        <v>Wastewater Treatment and Nitrogen Removal</v>
      </c>
    </row>
    <row r="55" spans="2:2">
      <c r="B55" t="str">
        <f ca="1"/>
        <v>Conducting polymers and applications</v>
      </c>
    </row>
    <row r="56" spans="2:2">
      <c r="B56" t="str">
        <f ca="1"/>
        <v>Advancements in Transdermal Drug Delivery</v>
      </c>
    </row>
    <row r="57" spans="2:2">
      <c r="B57" t="str">
        <f ca="1"/>
        <v>Bee Products Chemical Analysis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32059-C991-449B-93B2-166DC17815E0}">
  <dimension ref="A1:D202"/>
  <sheetViews>
    <sheetView topLeftCell="A171" workbookViewId="0">
      <selection activeCell="D202" sqref="D202"/>
    </sheetView>
  </sheetViews>
  <sheetFormatPr defaultRowHeight="15"/>
  <cols>
    <col min="1" max="1" width="51.85546875" bestFit="1" customWidth="1"/>
    <col min="3" max="3" width="8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1456</v>
      </c>
      <c r="C2" t="str">
        <f>VLOOKUP(A2,sonificationORaudification!$A:$D, 3, FALSE)</f>
        <v>Y</v>
      </c>
      <c r="D2">
        <f>VLOOKUP(A2,sonificationORaudification!$A:$D, 4, FALSE)</f>
        <v>0</v>
      </c>
    </row>
    <row r="3" spans="1:4">
      <c r="A3" t="s">
        <v>5</v>
      </c>
      <c r="B3">
        <v>906</v>
      </c>
      <c r="C3" t="str">
        <f>VLOOKUP(A3,sonificationORaudification!$A:$D, 3, FALSE)</f>
        <v>Y</v>
      </c>
      <c r="D3">
        <f>VLOOKUP(A3,sonificationORaudification!$A:$D, 4, FALSE)</f>
        <v>0</v>
      </c>
    </row>
    <row r="4" spans="1:4">
      <c r="A4" t="s">
        <v>6</v>
      </c>
      <c r="B4">
        <v>255</v>
      </c>
      <c r="C4" t="str">
        <f>VLOOKUP(A4,sonificationORaudification!$A:$D, 3, FALSE)</f>
        <v>Y</v>
      </c>
      <c r="D4" t="str">
        <f>VLOOKUP(A4,sonificationORaudification!$A:$D, 4, FALSE)</f>
        <v>Chris: Includes sonification handbook! Carol: papers broader than topic would suggest and include sonification</v>
      </c>
    </row>
    <row r="5" spans="1:4">
      <c r="A5" t="s">
        <v>7</v>
      </c>
      <c r="B5">
        <v>233</v>
      </c>
      <c r="C5" t="str">
        <f>VLOOKUP(A5,sonificationORaudification!$A:$D, 3, FALSE)</f>
        <v>Y</v>
      </c>
      <c r="D5">
        <f>VLOOKUP(A5,sonificationORaudification!$A:$D, 4, FALSE)</f>
        <v>0</v>
      </c>
    </row>
    <row r="6" spans="1:4">
      <c r="A6" t="s">
        <v>8</v>
      </c>
      <c r="B6">
        <v>164</v>
      </c>
      <c r="C6" t="str">
        <f>VLOOKUP(A6,sonificationORaudification!$A:$D, 3, FALSE)</f>
        <v>Y</v>
      </c>
      <c r="D6">
        <f>VLOOKUP(A6,sonificationORaudification!$A:$D, 4, FALSE)</f>
        <v>0</v>
      </c>
    </row>
    <row r="7" spans="1:4">
      <c r="A7" t="s">
        <v>9</v>
      </c>
      <c r="B7">
        <v>155</v>
      </c>
      <c r="C7" t="str">
        <f>VLOOKUP(A7,sonificationORaudification!$A:$D, 3, FALSE)</f>
        <v>Y</v>
      </c>
      <c r="D7">
        <f>VLOOKUP(A7,sonificationORaudification!$A:$D, 4, FALSE)</f>
        <v>0</v>
      </c>
    </row>
    <row r="8" spans="1:4">
      <c r="A8" t="s">
        <v>10</v>
      </c>
      <c r="B8">
        <v>141</v>
      </c>
      <c r="C8" t="str">
        <f>VLOOKUP(A8,sonificationORaudification!$A:$D, 3, FALSE)</f>
        <v>Y</v>
      </c>
      <c r="D8">
        <f>VLOOKUP(A8,sonificationORaudification!$A:$D, 4, FALSE)</f>
        <v>0</v>
      </c>
    </row>
    <row r="9" spans="1:4">
      <c r="A9" t="s">
        <v>11</v>
      </c>
      <c r="B9">
        <v>129</v>
      </c>
      <c r="C9" t="str">
        <f>VLOOKUP(A9,sonificationORaudification!$A:$D, 3, FALSE)</f>
        <v>Y</v>
      </c>
      <c r="D9">
        <f>VLOOKUP(A9,sonificationORaudification!$A:$D, 4, FALSE)</f>
        <v>0</v>
      </c>
    </row>
    <row r="10" spans="1:4">
      <c r="A10" t="s">
        <v>12</v>
      </c>
      <c r="B10">
        <v>118</v>
      </c>
      <c r="C10" t="str">
        <f>VLOOKUP(A10,sonificationORaudification!$A:$D, 3, FALSE)</f>
        <v>Y</v>
      </c>
      <c r="D10">
        <f>VLOOKUP(A10,sonificationORaudification!$A:$D, 4, FALSE)</f>
        <v>0</v>
      </c>
    </row>
    <row r="11" spans="1:4">
      <c r="A11" t="s">
        <v>13</v>
      </c>
      <c r="B11">
        <v>103</v>
      </c>
      <c r="C11" t="str">
        <f>VLOOKUP(A11,sonificationORaudification!$A:$D, 3, FALSE)</f>
        <v>Y</v>
      </c>
      <c r="D11" t="str">
        <f>VLOOKUP(A11,sonificationORaudification!$A:$D, 4, FALSE)</f>
        <v>Although, as might be expected quite a few papers about using sonification of bodily measurements to monitor patients' condition</v>
      </c>
    </row>
    <row r="12" spans="1:4">
      <c r="A12" t="s">
        <v>14</v>
      </c>
      <c r="B12">
        <v>92</v>
      </c>
      <c r="C12" t="str">
        <f>VLOOKUP(A12,sonificationORaudification!$A:$D, 3, FALSE)</f>
        <v>Y</v>
      </c>
      <c r="D12">
        <f>VLOOKUP(A12,sonificationORaudification!$A:$D, 4, FALSE)</f>
        <v>0</v>
      </c>
    </row>
    <row r="13" spans="1:4">
      <c r="A13" t="s">
        <v>15</v>
      </c>
      <c r="B13">
        <v>82</v>
      </c>
      <c r="C13" t="str">
        <f>VLOOKUP(A13,sonificationORaudification!$A:$D, 3, FALSE)</f>
        <v>Y</v>
      </c>
      <c r="D13">
        <f>VLOOKUP(A13,sonificationORaudification!$A:$D, 4, FALSE)</f>
        <v>0</v>
      </c>
    </row>
    <row r="14" spans="1:4">
      <c r="A14" t="s">
        <v>16</v>
      </c>
      <c r="B14">
        <v>65</v>
      </c>
      <c r="C14" t="str">
        <f>VLOOKUP(A14,sonificationORaudification!$A:$D, 3, FALSE)</f>
        <v>Y</v>
      </c>
      <c r="D14" t="str">
        <f>VLOOKUP(A14,sonificationORaudification!$A:$D, 4, FALSE)</f>
        <v>Topic title doesn't seem to have much to do with the papers which do include ones on sonification</v>
      </c>
    </row>
    <row r="15" spans="1:4">
      <c r="A15" t="s">
        <v>17</v>
      </c>
      <c r="B15">
        <v>62</v>
      </c>
      <c r="C15" t="str">
        <f>VLOOKUP(A15,sonificationORaudification!$A:$D, 3, FALSE)</f>
        <v>Y</v>
      </c>
      <c r="D15">
        <f>VLOOKUP(A15,sonificationORaudification!$A:$D, 4, FALSE)</f>
        <v>0</v>
      </c>
    </row>
    <row r="16" spans="1:4">
      <c r="A16" t="s">
        <v>18</v>
      </c>
      <c r="B16">
        <v>60</v>
      </c>
      <c r="C16" t="str">
        <f>VLOOKUP(A16,sonificationORaudification!$A:$D, 3, FALSE)</f>
        <v>y</v>
      </c>
      <c r="D16">
        <f>VLOOKUP(A16,sonificationORaudification!$A:$D, 4, FALSE)</f>
        <v>0</v>
      </c>
    </row>
    <row r="17" spans="1:4">
      <c r="A17" t="s">
        <v>19</v>
      </c>
      <c r="B17">
        <v>49</v>
      </c>
      <c r="C17" t="str">
        <f>VLOOKUP(A17,sonificationORaudification!$A:$D, 3, FALSE)</f>
        <v>Y</v>
      </c>
      <c r="D17">
        <f>VLOOKUP(A17,sonificationORaudification!$A:$D, 4, FALSE)</f>
        <v>0</v>
      </c>
    </row>
    <row r="18" spans="1:4">
      <c r="A18" t="s">
        <v>20</v>
      </c>
      <c r="B18">
        <v>47</v>
      </c>
      <c r="C18" t="str">
        <f>VLOOKUP(A18,sonificationORaudification!$A:$D, 3, FALSE)</f>
        <v>Y</v>
      </c>
      <c r="D18" t="str">
        <f>VLOOKUP(A18,sonificationORaudification!$A:$D, 4, FALSE)</f>
        <v>Quite a lot about moving to sounds for rehabilitation</v>
      </c>
    </row>
    <row r="19" spans="1:4">
      <c r="A19" t="s">
        <v>21</v>
      </c>
      <c r="B19">
        <v>45</v>
      </c>
      <c r="C19" t="str">
        <f>VLOOKUP(A19,sonificationORaudification!$A:$D, 3, FALSE)</f>
        <v>Y</v>
      </c>
      <c r="D19">
        <f>VLOOKUP(A19,sonificationORaudification!$A:$D, 4, FALSE)</f>
        <v>0</v>
      </c>
    </row>
    <row r="20" spans="1:4">
      <c r="A20" t="s">
        <v>22</v>
      </c>
      <c r="B20">
        <v>43</v>
      </c>
      <c r="C20" t="str">
        <f>VLOOKUP(A20,sonificationORaudification!$A:$D, 3, FALSE)</f>
        <v>Y</v>
      </c>
      <c r="D20">
        <f>VLOOKUP(A20,sonificationORaudification!$A:$D, 4, FALSE)</f>
        <v>0</v>
      </c>
    </row>
    <row r="21" spans="1:4">
      <c r="A21" t="s">
        <v>23</v>
      </c>
      <c r="B21">
        <v>36</v>
      </c>
      <c r="C21" t="str">
        <f>VLOOKUP(A21,sonificationORaudification!$A:$D, 3, FALSE)</f>
        <v>y</v>
      </c>
      <c r="D21">
        <f>VLOOKUP(A21,sonificationORaudification!$A:$D, 4, FALSE)</f>
        <v>0</v>
      </c>
    </row>
    <row r="22" spans="1:4">
      <c r="A22" t="s">
        <v>24</v>
      </c>
      <c r="B22">
        <v>36</v>
      </c>
      <c r="C22" t="str">
        <f>VLOOKUP(A22,sonificationORaudification!$A:$D, 3, FALSE)</f>
        <v>Y</v>
      </c>
      <c r="D22">
        <f>VLOOKUP(A22,sonificationORaudification!$A:$D, 4, FALSE)</f>
        <v>0</v>
      </c>
    </row>
    <row r="23" spans="1:4">
      <c r="A23" t="s">
        <v>25</v>
      </c>
      <c r="B23">
        <v>33</v>
      </c>
      <c r="C23" t="str">
        <f>VLOOKUP(A23,sonificationORaudification!$A:$D, 3, FALSE)</f>
        <v>Y</v>
      </c>
      <c r="D23">
        <f>VLOOKUP(A23,sonificationORaudification!$A:$D, 4, FALSE)</f>
        <v>0</v>
      </c>
    </row>
    <row r="24" spans="1:4">
      <c r="A24" t="s">
        <v>26</v>
      </c>
      <c r="B24">
        <v>32</v>
      </c>
      <c r="C24" t="str">
        <f>VLOOKUP(A24,sonificationORaudification!$A:$D, 3, FALSE)</f>
        <v>Y</v>
      </c>
      <c r="D24" t="str">
        <f>VLOOKUP(A24,sonificationORaudification!$A:$D, 4, FALSE)</f>
        <v>some of the papers are sonification of ocean data</v>
      </c>
    </row>
    <row r="25" spans="1:4">
      <c r="A25" t="s">
        <v>27</v>
      </c>
      <c r="B25">
        <v>32</v>
      </c>
      <c r="C25" t="str">
        <f>VLOOKUP(A25,sonificationORaudification!$A:$D, 3, FALSE)</f>
        <v>N</v>
      </c>
      <c r="D25">
        <f>VLOOKUP(A25,sonificationORaudification!$A:$D, 4, FALSE)</f>
        <v>0</v>
      </c>
    </row>
    <row r="26" spans="1:4">
      <c r="A26" t="s">
        <v>28</v>
      </c>
      <c r="B26">
        <v>31</v>
      </c>
      <c r="C26" t="str">
        <f>VLOOKUP(A26,sonificationORaudification!$A:$D, 3, FALSE)</f>
        <v>Y</v>
      </c>
      <c r="D26" t="str">
        <f>VLOOKUP(A26,sonificationORaudification!$A:$D, 4, FALSE)</f>
        <v>Mix of using sound in electric cars, but also sonification of data from cars</v>
      </c>
    </row>
    <row r="27" spans="1:4">
      <c r="A27" t="s">
        <v>29</v>
      </c>
      <c r="B27">
        <v>30</v>
      </c>
      <c r="C27" t="str">
        <f>VLOOKUP(A27,sonificationORaudification!$A:$D, 3, FALSE)</f>
        <v>Y</v>
      </c>
      <c r="D27">
        <f>VLOOKUP(A27,sonificationORaudification!$A:$D, 4, FALSE)</f>
        <v>0</v>
      </c>
    </row>
    <row r="28" spans="1:4">
      <c r="A28" t="s">
        <v>30</v>
      </c>
      <c r="B28">
        <v>28</v>
      </c>
      <c r="C28" t="str">
        <f>VLOOKUP(A28,sonificationORaudification!$A:$D, 3, FALSE)</f>
        <v>y</v>
      </c>
      <c r="D28">
        <f>VLOOKUP(A28,sonificationORaudification!$A:$D, 4, FALSE)</f>
        <v>0</v>
      </c>
    </row>
    <row r="29" spans="1:4">
      <c r="A29" t="s">
        <v>31</v>
      </c>
      <c r="B29">
        <v>27</v>
      </c>
      <c r="C29" t="str">
        <f>VLOOKUP(A29,sonificationORaudification!$A:$D, 3, FALSE)</f>
        <v>Y</v>
      </c>
      <c r="D29" t="str">
        <f>VLOOKUP(A29,sonificationORaudification!$A:$D, 4, FALSE)</f>
        <v xml:space="preserve">thought it would be earcons, but some are related to broader data sonification </v>
      </c>
    </row>
    <row r="30" spans="1:4">
      <c r="A30" t="s">
        <v>32</v>
      </c>
      <c r="B30">
        <v>26</v>
      </c>
      <c r="C30" t="str">
        <f>VLOOKUP(A30,sonificationORaudification!$A:$D, 3, FALSE)</f>
        <v>Y</v>
      </c>
      <c r="D30">
        <f>VLOOKUP(A30,sonificationORaudification!$A:$D, 4, FALSE)</f>
        <v>0</v>
      </c>
    </row>
    <row r="31" spans="1:4">
      <c r="A31" t="s">
        <v>33</v>
      </c>
      <c r="B31">
        <v>26</v>
      </c>
      <c r="C31" t="str">
        <f>VLOOKUP(A31,sonificationORaudification!$A:$D, 3, FALSE)</f>
        <v>Y</v>
      </c>
      <c r="D31">
        <f>VLOOKUP(A31,sonificationORaudification!$A:$D, 4, FALSE)</f>
        <v>0</v>
      </c>
    </row>
    <row r="32" spans="1:4">
      <c r="A32" t="s">
        <v>34</v>
      </c>
      <c r="B32">
        <v>23</v>
      </c>
      <c r="C32" t="str">
        <f>VLOOKUP(A32,sonificationORaudification!$A:$D, 3, FALSE)</f>
        <v>Y</v>
      </c>
      <c r="D32">
        <f>VLOOKUP(A32,sonificationORaudification!$A:$D, 4, FALSE)</f>
        <v>0</v>
      </c>
    </row>
    <row r="33" spans="1:4">
      <c r="A33" t="s">
        <v>35</v>
      </c>
      <c r="B33">
        <v>23</v>
      </c>
      <c r="C33" t="str">
        <f>VLOOKUP(A33,sonificationORaudification!$A:$D, 3, FALSE)</f>
        <v>Y</v>
      </c>
      <c r="D33" t="str">
        <f>VLOOKUP(A33,sonificationORaudification!$A:$D, 4, FALSE)</f>
        <v>although also includes a paper on isolation of E.Coli resistant to sonic disintegration!</v>
      </c>
    </row>
    <row r="34" spans="1:4">
      <c r="A34" t="s">
        <v>36</v>
      </c>
      <c r="B34">
        <v>22</v>
      </c>
      <c r="C34" t="str">
        <f>VLOOKUP(A34,sonificationORaudification!$A:$D, 3, FALSE)</f>
        <v>N</v>
      </c>
      <c r="D34">
        <f>VLOOKUP(A34,sonificationORaudification!$A:$D, 4, FALSE)</f>
        <v>0</v>
      </c>
    </row>
    <row r="35" spans="1:4">
      <c r="A35" t="s">
        <v>37</v>
      </c>
      <c r="B35">
        <v>21</v>
      </c>
      <c r="C35" t="str">
        <f>VLOOKUP(A35,sonificationORaudification!$A:$D, 3, FALSE)</f>
        <v>Y</v>
      </c>
      <c r="D35" t="str">
        <f>VLOOKUP(A35,sonificationORaudification!$A:$D, 4, FALSE)</f>
        <v>a few sonification papers included</v>
      </c>
    </row>
    <row r="36" spans="1:4">
      <c r="A36" t="s">
        <v>38</v>
      </c>
      <c r="B36">
        <v>21</v>
      </c>
      <c r="C36" t="str">
        <f>VLOOKUP(A36,sonificationORaudification!$A:$D, 3, FALSE)</f>
        <v>Y</v>
      </c>
      <c r="D36">
        <f>VLOOKUP(A36,sonificationORaudification!$A:$D, 4, FALSE)</f>
        <v>0</v>
      </c>
    </row>
    <row r="37" spans="1:4">
      <c r="A37" t="s">
        <v>39</v>
      </c>
      <c r="B37">
        <v>20</v>
      </c>
      <c r="C37" t="str">
        <f>VLOOKUP(A37,sonificationORaudification!$A:$D, 3, FALSE)</f>
        <v>Y</v>
      </c>
      <c r="D37" t="str">
        <f>VLOOKUP(A37,sonificationORaudification!$A:$D, 4, FALSE)</f>
        <v>sonification in rehab</v>
      </c>
    </row>
    <row r="38" spans="1:4">
      <c r="A38" t="s">
        <v>40</v>
      </c>
      <c r="B38">
        <v>20</v>
      </c>
      <c r="C38" t="str">
        <f>VLOOKUP(A38,sonificationORaudification!$A:$D, 3, FALSE)</f>
        <v>y</v>
      </c>
      <c r="D38">
        <f>VLOOKUP(A38,sonificationORaudification!$A:$D, 4, FALSE)</f>
        <v>0</v>
      </c>
    </row>
    <row r="39" spans="1:4">
      <c r="A39" t="s">
        <v>41</v>
      </c>
      <c r="B39">
        <v>20</v>
      </c>
      <c r="C39" t="str">
        <f>VLOOKUP(A39,sonificationORaudification!$A:$D, 3, FALSE)</f>
        <v>y</v>
      </c>
      <c r="D39">
        <f>VLOOKUP(A39,sonificationORaudification!$A:$D, 4, FALSE)</f>
        <v>0</v>
      </c>
    </row>
    <row r="40" spans="1:4">
      <c r="A40" t="s">
        <v>42</v>
      </c>
      <c r="B40">
        <v>18</v>
      </c>
      <c r="C40" t="str">
        <f>VLOOKUP(A40,sonificationORaudification!$A:$D, 3, FALSE)</f>
        <v>Y</v>
      </c>
      <c r="D40" t="str">
        <f>VLOOKUP(A40,sonificationORaudification!$A:$D, 4, FALSE)</f>
        <v>contains a few papers which are sonication, but also some sonification</v>
      </c>
    </row>
    <row r="41" spans="1:4">
      <c r="A41" t="s">
        <v>43</v>
      </c>
      <c r="B41">
        <v>18</v>
      </c>
      <c r="C41" t="str">
        <f>VLOOKUP(A41,sonificationORaudification!$A:$D, 3, FALSE)</f>
        <v>Y</v>
      </c>
      <c r="D41">
        <f>VLOOKUP(A41,sonificationORaudification!$A:$D, 4, FALSE)</f>
        <v>0</v>
      </c>
    </row>
    <row r="42" spans="1:4">
      <c r="A42" t="s">
        <v>44</v>
      </c>
      <c r="B42">
        <v>16</v>
      </c>
      <c r="C42" t="str">
        <f>VLOOKUP(A42,sonificationORaudification!$A:$D, 3, FALSE)</f>
        <v>Y</v>
      </c>
      <c r="D42" t="str">
        <f>VLOOKUP(A42,sonificationORaudification!$A:$D, 4, FALSE)</f>
        <v>sonification of body movement</v>
      </c>
    </row>
    <row r="43" spans="1:4">
      <c r="A43" t="s">
        <v>45</v>
      </c>
      <c r="B43">
        <v>16</v>
      </c>
      <c r="C43" t="str">
        <f>VLOOKUP(A43,sonificationORaudification!$A:$D, 3, FALSE)</f>
        <v>Y</v>
      </c>
      <c r="D43">
        <f>VLOOKUP(A43,sonificationORaudification!$A:$D, 4, FALSE)</f>
        <v>0</v>
      </c>
    </row>
    <row r="44" spans="1:4">
      <c r="A44" t="s">
        <v>46</v>
      </c>
      <c r="B44">
        <v>16</v>
      </c>
      <c r="C44" t="str">
        <f>VLOOKUP(A44,sonificationORaudification!$A:$D, 3, FALSE)</f>
        <v>Y</v>
      </c>
      <c r="D44" t="str">
        <f>VLOOKUP(A44,sonificationORaudification!$A:$D, 4, FALSE)</f>
        <v>a couple of sonification papers included</v>
      </c>
    </row>
    <row r="45" spans="1:4">
      <c r="A45" t="s">
        <v>47</v>
      </c>
      <c r="B45">
        <v>15</v>
      </c>
      <c r="C45" t="str">
        <f>VLOOKUP(A45,sonificationORaudification!$A:$D, 3, FALSE)</f>
        <v>Y</v>
      </c>
      <c r="D45">
        <f>VLOOKUP(A45,sonificationORaudification!$A:$D, 4, FALSE)</f>
        <v>0</v>
      </c>
    </row>
    <row r="46" spans="1:4">
      <c r="A46" t="s">
        <v>48</v>
      </c>
      <c r="B46">
        <v>15</v>
      </c>
      <c r="C46" t="str">
        <f>VLOOKUP(A46,sonificationORaudification!$A:$D, 3, FALSE)</f>
        <v>y</v>
      </c>
      <c r="D46">
        <f>VLOOKUP(A46,sonificationORaudification!$A:$D, 4, FALSE)</f>
        <v>0</v>
      </c>
    </row>
    <row r="47" spans="1:4">
      <c r="A47" t="s">
        <v>49</v>
      </c>
      <c r="B47">
        <v>15</v>
      </c>
      <c r="C47" t="str">
        <f>VLOOKUP(A47,sonificationORaudification!$A:$D, 3, FALSE)</f>
        <v>Y</v>
      </c>
      <c r="D47">
        <f>VLOOKUP(A47,sonificationORaudification!$A:$D, 4, FALSE)</f>
        <v>0</v>
      </c>
    </row>
    <row r="48" spans="1:4">
      <c r="A48" t="s">
        <v>50</v>
      </c>
      <c r="B48">
        <v>15</v>
      </c>
      <c r="C48" t="str">
        <f>VLOOKUP(A48,sonificationORaudification!$A:$D, 3, FALSE)</f>
        <v>y</v>
      </c>
      <c r="D48">
        <f>VLOOKUP(A48,sonificationORaudification!$A:$D, 4, FALSE)</f>
        <v>0</v>
      </c>
    </row>
    <row r="49" spans="1:4">
      <c r="A49" t="s">
        <v>51</v>
      </c>
      <c r="B49">
        <v>14</v>
      </c>
      <c r="C49" t="str">
        <f>VLOOKUP(A49,sonificationORaudification!$A:$D, 3, FALSE)</f>
        <v>Y</v>
      </c>
      <c r="D49">
        <f>VLOOKUP(A49,sonificationORaudification!$A:$D, 4, FALSE)</f>
        <v>0</v>
      </c>
    </row>
    <row r="50" spans="1:4">
      <c r="A50" t="s">
        <v>52</v>
      </c>
      <c r="B50">
        <v>14</v>
      </c>
      <c r="C50" t="str">
        <f>VLOOKUP(A50,sonificationORaudification!$A:$D, 3, FALSE)</f>
        <v>y</v>
      </c>
      <c r="D50">
        <f>VLOOKUP(A50,sonificationORaudification!$A:$D, 4, FALSE)</f>
        <v>0</v>
      </c>
    </row>
    <row r="51" spans="1:4">
      <c r="A51" t="s">
        <v>53</v>
      </c>
      <c r="B51">
        <v>13</v>
      </c>
      <c r="C51" t="str">
        <f>VLOOKUP(A51,sonificationORaudification!$A:$D, 3, FALSE)</f>
        <v>N</v>
      </c>
      <c r="D51">
        <f>VLOOKUP(A51,sonificationORaudification!$A:$D, 4, FALSE)</f>
        <v>0</v>
      </c>
    </row>
    <row r="52" spans="1:4">
      <c r="A52" t="s">
        <v>54</v>
      </c>
      <c r="B52">
        <v>13</v>
      </c>
      <c r="C52" t="str">
        <f>VLOOKUP(A52,sonificationORaudification!$A:$D, 3, FALSE)</f>
        <v>N</v>
      </c>
      <c r="D52">
        <f>VLOOKUP(A52,sonificationORaudification!$A:$D, 4, FALSE)</f>
        <v>0</v>
      </c>
    </row>
    <row r="53" spans="1:4">
      <c r="A53" t="s">
        <v>55</v>
      </c>
      <c r="B53">
        <v>13</v>
      </c>
      <c r="C53" t="str">
        <f>VLOOKUP(A53,sonificationORaudification!$A:$D, 3, FALSE)</f>
        <v>Y</v>
      </c>
      <c r="D53">
        <f>VLOOKUP(A53,sonificationORaudification!$A:$D, 4, FALSE)</f>
        <v>0</v>
      </c>
    </row>
    <row r="54" spans="1:4">
      <c r="A54" t="s">
        <v>56</v>
      </c>
      <c r="B54">
        <v>12</v>
      </c>
      <c r="C54" t="str">
        <f>VLOOKUP(A54,sonificationORaudification!$A:$D, 3, FALSE)</f>
        <v>Y</v>
      </c>
      <c r="D54" t="str">
        <f>VLOOKUP(A54,sonificationORaudification!$A:$D, 4, FALSE)</f>
        <v>One sonification paper https://www.cell.com/matter/fulltext/S2590-2385(21)00455-0</v>
      </c>
    </row>
    <row r="55" spans="1:4">
      <c r="A55" t="s">
        <v>57</v>
      </c>
      <c r="B55">
        <v>12</v>
      </c>
      <c r="C55" t="str">
        <f>VLOOKUP(A55,sonificationORaudification!$A:$D, 3, FALSE)</f>
        <v>Y</v>
      </c>
      <c r="D55">
        <f>VLOOKUP(A55,sonificationORaudification!$A:$D, 4, FALSE)</f>
        <v>0</v>
      </c>
    </row>
    <row r="56" spans="1:4">
      <c r="A56" t="s">
        <v>58</v>
      </c>
      <c r="B56">
        <v>12</v>
      </c>
      <c r="C56" t="str">
        <f>VLOOKUP(A56,sonificationORaudification!$A:$D, 3, FALSE)</f>
        <v>Y</v>
      </c>
      <c r="D56">
        <f>VLOOKUP(A56,sonificationORaudification!$A:$D, 4, FALSE)</f>
        <v>0</v>
      </c>
    </row>
    <row r="57" spans="1:4">
      <c r="A57" t="s">
        <v>59</v>
      </c>
      <c r="B57">
        <v>12</v>
      </c>
      <c r="C57" t="str">
        <f>VLOOKUP(A57,sonificationORaudification!$A:$D, 3, FALSE)</f>
        <v>N</v>
      </c>
      <c r="D57">
        <f>VLOOKUP(A57,sonificationORaudification!$A:$D, 4, FALSE)</f>
        <v>0</v>
      </c>
    </row>
    <row r="58" spans="1:4">
      <c r="A58" t="s">
        <v>60</v>
      </c>
      <c r="B58">
        <v>12</v>
      </c>
      <c r="C58" t="str">
        <f>VLOOKUP(A58,sonificationORaudification!$A:$D, 3, FALSE)</f>
        <v>Y</v>
      </c>
      <c r="D58">
        <f>VLOOKUP(A58,sonificationORaudification!$A:$D, 4, FALSE)</f>
        <v>0</v>
      </c>
    </row>
    <row r="59" spans="1:4">
      <c r="A59" t="s">
        <v>61</v>
      </c>
      <c r="B59">
        <v>12</v>
      </c>
      <c r="C59" t="str">
        <f>VLOOKUP(A59,sonificationORaudification!$A:$D, 3, FALSE)</f>
        <v>Y</v>
      </c>
      <c r="D59">
        <f>VLOOKUP(A59,sonificationORaudification!$A:$D, 4, FALSE)</f>
        <v>0</v>
      </c>
    </row>
    <row r="60" spans="1:4">
      <c r="A60" t="s">
        <v>62</v>
      </c>
      <c r="B60">
        <v>12</v>
      </c>
      <c r="C60" t="str">
        <f>VLOOKUP(A60,sonificationORaudification!$A:$D, 3, FALSE)</f>
        <v>Y</v>
      </c>
      <c r="D60">
        <f>VLOOKUP(A60,sonificationORaudification!$A:$D, 4, FALSE)</f>
        <v>0</v>
      </c>
    </row>
    <row r="61" spans="1:4">
      <c r="A61" t="s">
        <v>63</v>
      </c>
      <c r="B61">
        <v>12</v>
      </c>
      <c r="C61" t="str">
        <f>VLOOKUP(A61,sonificationORaudification!$A:$D, 3, FALSE)</f>
        <v>Y</v>
      </c>
      <c r="D61">
        <f>VLOOKUP(A61,sonificationORaudification!$A:$D, 4, FALSE)</f>
        <v>0</v>
      </c>
    </row>
    <row r="62" spans="1:4">
      <c r="A62" t="s">
        <v>64</v>
      </c>
      <c r="B62">
        <v>12</v>
      </c>
      <c r="C62" t="str">
        <f>VLOOKUP(A62,sonificationORaudification!$A:$D, 3, FALSE)</f>
        <v>Y</v>
      </c>
      <c r="D62">
        <f>VLOOKUP(A62,sonificationORaudification!$A:$D, 4, FALSE)</f>
        <v>0</v>
      </c>
    </row>
    <row r="63" spans="1:4">
      <c r="A63" t="s">
        <v>65</v>
      </c>
      <c r="B63">
        <v>11</v>
      </c>
      <c r="C63" t="str">
        <f>VLOOKUP(A63,sonificationORaudification!$A:$D, 3, FALSE)</f>
        <v>N</v>
      </c>
      <c r="D63">
        <f>VLOOKUP(A63,sonificationORaudification!$A:$D, 4, FALSE)</f>
        <v>0</v>
      </c>
    </row>
    <row r="64" spans="1:4">
      <c r="A64" t="s">
        <v>66</v>
      </c>
      <c r="B64">
        <v>11</v>
      </c>
      <c r="C64" t="str">
        <f>VLOOKUP(A64,sonificationORaudification!$A:$D, 3, FALSE)</f>
        <v>Y</v>
      </c>
      <c r="D64">
        <f>VLOOKUP(A64,sonificationORaudification!$A:$D, 4, FALSE)</f>
        <v>0</v>
      </c>
    </row>
    <row r="65" spans="1:4">
      <c r="A65" t="s">
        <v>67</v>
      </c>
      <c r="B65">
        <v>11</v>
      </c>
      <c r="C65" t="str">
        <f>VLOOKUP(A65,sonificationORaudification!$A:$D, 3, FALSE)</f>
        <v>N</v>
      </c>
      <c r="D65">
        <f>VLOOKUP(A65,sonificationORaudification!$A:$D, 4, FALSE)</f>
        <v>0</v>
      </c>
    </row>
    <row r="66" spans="1:4">
      <c r="A66" t="s">
        <v>68</v>
      </c>
      <c r="B66">
        <v>11</v>
      </c>
      <c r="C66" t="str">
        <f>VLOOKUP(A66,sonificationORaudification!$A:$D, 3, FALSE)</f>
        <v>Y</v>
      </c>
      <c r="D66">
        <f>VLOOKUP(A66,sonificationORaudification!$A:$D, 4, FALSE)</f>
        <v>0</v>
      </c>
    </row>
    <row r="67" spans="1:4">
      <c r="A67" t="s">
        <v>69</v>
      </c>
      <c r="B67">
        <v>11</v>
      </c>
      <c r="C67" t="str">
        <f>VLOOKUP(A67,sonificationORaudification!$A:$D, 3, FALSE)</f>
        <v>N</v>
      </c>
      <c r="D67">
        <f>VLOOKUP(A67,sonificationORaudification!$A:$D, 4, FALSE)</f>
        <v>0</v>
      </c>
    </row>
    <row r="68" spans="1:4">
      <c r="A68" t="s">
        <v>70</v>
      </c>
      <c r="B68">
        <v>11</v>
      </c>
      <c r="C68" t="str">
        <f>VLOOKUP(A68,sonificationORaudification!$A:$D, 3, FALSE)</f>
        <v>Y</v>
      </c>
      <c r="D68">
        <f>VLOOKUP(A68,sonificationORaudification!$A:$D, 4, FALSE)</f>
        <v>0</v>
      </c>
    </row>
    <row r="69" spans="1:4">
      <c r="A69" t="s">
        <v>71</v>
      </c>
      <c r="B69">
        <v>11</v>
      </c>
      <c r="C69" t="str">
        <f>VLOOKUP(A69,sonificationORaudification!$A:$D, 3, FALSE)</f>
        <v>Y</v>
      </c>
      <c r="D69">
        <f>VLOOKUP(A69,sonificationORaudification!$A:$D, 4, FALSE)</f>
        <v>0</v>
      </c>
    </row>
    <row r="70" spans="1:4">
      <c r="A70" t="s">
        <v>72</v>
      </c>
      <c r="B70">
        <v>11</v>
      </c>
      <c r="C70" t="str">
        <f>VLOOKUP(A70,sonificationORaudification!$A:$D, 3, FALSE)</f>
        <v>Y</v>
      </c>
      <c r="D70">
        <f>VLOOKUP(A70,sonificationORaudification!$A:$D, 4, FALSE)</f>
        <v>0</v>
      </c>
    </row>
    <row r="71" spans="1:4">
      <c r="A71" t="s">
        <v>73</v>
      </c>
      <c r="B71">
        <v>11</v>
      </c>
      <c r="C71" t="s">
        <v>74</v>
      </c>
      <c r="D71" t="s">
        <v>75</v>
      </c>
    </row>
    <row r="72" spans="1:4">
      <c r="A72" t="s">
        <v>76</v>
      </c>
      <c r="B72">
        <v>11</v>
      </c>
      <c r="C72" t="str">
        <f>VLOOKUP(A72,sonificationORaudification!$A:$D, 3, FALSE)</f>
        <v>Y</v>
      </c>
      <c r="D72">
        <f>VLOOKUP(A72,sonificationORaudification!$A:$D, 4, FALSE)</f>
        <v>0</v>
      </c>
    </row>
    <row r="73" spans="1:4">
      <c r="A73" t="s">
        <v>77</v>
      </c>
      <c r="B73">
        <v>11</v>
      </c>
      <c r="C73" t="str">
        <f>VLOOKUP(A73,sonificationORaudification!$A:$D, 3, FALSE)</f>
        <v>Y</v>
      </c>
      <c r="D73">
        <f>VLOOKUP(A73,sonificationORaudification!$A:$D, 4, FALSE)</f>
        <v>0</v>
      </c>
    </row>
    <row r="74" spans="1:4">
      <c r="A74" t="s">
        <v>78</v>
      </c>
      <c r="B74">
        <v>11</v>
      </c>
      <c r="C74" t="str">
        <f>VLOOKUP(A74,sonificationORaudification!$A:$D, 3, FALSE)</f>
        <v>Y</v>
      </c>
      <c r="D74">
        <f>VLOOKUP(A74,sonificationORaudification!$A:$D, 4, FALSE)</f>
        <v>0</v>
      </c>
    </row>
    <row r="75" spans="1:4">
      <c r="A75" t="s">
        <v>79</v>
      </c>
      <c r="B75">
        <v>11</v>
      </c>
      <c r="C75" t="str">
        <f>VLOOKUP(A75,sonificationORaudification!$A:$D, 3, FALSE)</f>
        <v>Y</v>
      </c>
      <c r="D75">
        <f>VLOOKUP(A75,sonificationORaudification!$A:$D, 4, FALSE)</f>
        <v>0</v>
      </c>
    </row>
    <row r="76" spans="1:4">
      <c r="A76" t="s">
        <v>80</v>
      </c>
      <c r="B76">
        <v>11</v>
      </c>
      <c r="C76" t="str">
        <f>VLOOKUP(A76,sonificationORaudification!$A:$D, 3, FALSE)</f>
        <v>Y</v>
      </c>
      <c r="D76">
        <f>VLOOKUP(A76,sonificationORaudification!$A:$D, 4, FALSE)</f>
        <v>0</v>
      </c>
    </row>
    <row r="77" spans="1:4">
      <c r="A77" t="s">
        <v>81</v>
      </c>
      <c r="B77">
        <v>11</v>
      </c>
      <c r="C77" t="str">
        <f>VLOOKUP(A77,sonificationORaudification!$A:$D, 3, FALSE)</f>
        <v>Y</v>
      </c>
      <c r="D77">
        <f>VLOOKUP(A77,sonificationORaudification!$A:$D, 4, FALSE)</f>
        <v>0</v>
      </c>
    </row>
    <row r="78" spans="1:4">
      <c r="A78" t="s">
        <v>82</v>
      </c>
      <c r="B78">
        <v>10</v>
      </c>
      <c r="C78" t="str">
        <f>VLOOKUP(A78,sonificationORaudification!$A:$D, 3, FALSE)</f>
        <v>N</v>
      </c>
      <c r="D78">
        <f>VLOOKUP(A78,sonificationORaudification!$A:$D, 4, FALSE)</f>
        <v>0</v>
      </c>
    </row>
    <row r="79" spans="1:4">
      <c r="A79" t="s">
        <v>83</v>
      </c>
      <c r="B79">
        <v>10</v>
      </c>
      <c r="C79" t="str">
        <f>VLOOKUP(A79,sonificationORaudification!$A:$D, 3, FALSE)</f>
        <v>N</v>
      </c>
      <c r="D79">
        <f>VLOOKUP(A79,sonificationORaudification!$A:$D, 4, FALSE)</f>
        <v>0</v>
      </c>
    </row>
    <row r="80" spans="1:4">
      <c r="A80" t="s">
        <v>84</v>
      </c>
      <c r="B80">
        <v>10</v>
      </c>
      <c r="C80" t="str">
        <f>VLOOKUP(A80,sonificationORaudification!$A:$D, 3, FALSE)</f>
        <v>Y</v>
      </c>
      <c r="D80">
        <f>VLOOKUP(A80,sonificationORaudification!$A:$D, 4, FALSE)</f>
        <v>0</v>
      </c>
    </row>
    <row r="81" spans="1:4">
      <c r="A81" t="s">
        <v>85</v>
      </c>
      <c r="B81">
        <v>10</v>
      </c>
      <c r="C81" t="str">
        <f>VLOOKUP(A81,sonificationORaudification!$A:$D, 3, FALSE)</f>
        <v>Y</v>
      </c>
      <c r="D81">
        <f>VLOOKUP(A81,sonificationORaudification!$A:$D, 4, FALSE)</f>
        <v>0</v>
      </c>
    </row>
    <row r="82" spans="1:4">
      <c r="A82" t="s">
        <v>86</v>
      </c>
      <c r="B82">
        <v>10</v>
      </c>
      <c r="C82" t="str">
        <f>VLOOKUP(A82,sonificationORaudification!$A:$D, 3, FALSE)</f>
        <v>Y</v>
      </c>
      <c r="D82">
        <f>VLOOKUP(A82,sonificationORaudification!$A:$D, 4, FALSE)</f>
        <v>0</v>
      </c>
    </row>
    <row r="83" spans="1:4">
      <c r="A83" t="s">
        <v>87</v>
      </c>
      <c r="B83">
        <v>10</v>
      </c>
      <c r="C83" t="str">
        <f>VLOOKUP(A83,sonificationORaudification!$A:$D, 3, FALSE)</f>
        <v>Y</v>
      </c>
      <c r="D83">
        <f>VLOOKUP(A83,sonificationORaudification!$A:$D, 4, FALSE)</f>
        <v>0</v>
      </c>
    </row>
    <row r="84" spans="1:4">
      <c r="A84" t="s">
        <v>88</v>
      </c>
      <c r="B84">
        <v>9</v>
      </c>
      <c r="C84" t="str">
        <f>VLOOKUP(A84,sonificationORaudification!$A:$D, 3, FALSE)</f>
        <v>N</v>
      </c>
      <c r="D84">
        <f>VLOOKUP(A84,sonificationORaudification!$A:$D, 4, FALSE)</f>
        <v>0</v>
      </c>
    </row>
    <row r="85" spans="1:4">
      <c r="A85" t="s">
        <v>89</v>
      </c>
      <c r="B85">
        <v>9</v>
      </c>
      <c r="C85" t="str">
        <f>VLOOKUP(A85,sonificationORaudification!$A:$D, 3, FALSE)</f>
        <v>N</v>
      </c>
      <c r="D85">
        <f>VLOOKUP(A85,sonificationORaudification!$A:$D, 4, FALSE)</f>
        <v>0</v>
      </c>
    </row>
    <row r="86" spans="1:4">
      <c r="A86" t="s">
        <v>90</v>
      </c>
      <c r="B86">
        <v>9</v>
      </c>
      <c r="C86" t="s">
        <v>74</v>
      </c>
      <c r="D86" t="s">
        <v>75</v>
      </c>
    </row>
    <row r="87" spans="1:4">
      <c r="A87" t="s">
        <v>91</v>
      </c>
      <c r="B87">
        <v>9</v>
      </c>
      <c r="C87" t="s">
        <v>74</v>
      </c>
      <c r="D87" t="s">
        <v>75</v>
      </c>
    </row>
    <row r="88" spans="1:4">
      <c r="A88" t="s">
        <v>92</v>
      </c>
      <c r="B88">
        <v>9</v>
      </c>
      <c r="C88" t="str">
        <f>VLOOKUP(A88,sonificationORaudification!$A:$D, 3, FALSE)</f>
        <v>Y</v>
      </c>
      <c r="D88" t="str">
        <f>VLOOKUP(A88,sonificationORaudification!$A:$D, 4, FALSE)</f>
        <v>If we are including sonification of movement</v>
      </c>
    </row>
    <row r="89" spans="1:4">
      <c r="A89" t="s">
        <v>93</v>
      </c>
      <c r="B89">
        <v>9</v>
      </c>
      <c r="C89" t="str">
        <f>VLOOKUP(A89,sonificationORaudification!$A:$D, 3, FALSE)</f>
        <v>Y</v>
      </c>
      <c r="D89">
        <f>VLOOKUP(A89,sonificationORaudification!$A:$D, 4, FALSE)</f>
        <v>0</v>
      </c>
    </row>
    <row r="90" spans="1:4">
      <c r="A90" t="s">
        <v>94</v>
      </c>
      <c r="B90">
        <v>9</v>
      </c>
      <c r="C90" t="str">
        <f>VLOOKUP(A90,sonificationORaudification!$A:$D, 3, FALSE)</f>
        <v>Y</v>
      </c>
      <c r="D90">
        <f>VLOOKUP(A90,sonificationORaudification!$A:$D, 4, FALSE)</f>
        <v>0</v>
      </c>
    </row>
    <row r="91" spans="1:4">
      <c r="A91" t="s">
        <v>95</v>
      </c>
      <c r="B91">
        <v>9</v>
      </c>
      <c r="C91" t="str">
        <f>VLOOKUP(A91,sonificationORaudification!$A:$D, 3, FALSE)</f>
        <v>Y</v>
      </c>
      <c r="D91">
        <f>VLOOKUP(A91,sonificationORaudification!$A:$D, 4, FALSE)</f>
        <v>0</v>
      </c>
    </row>
    <row r="92" spans="1:4">
      <c r="A92" t="s">
        <v>96</v>
      </c>
      <c r="B92">
        <v>9</v>
      </c>
      <c r="C92" t="str">
        <f>VLOOKUP(A92,sonificationORaudification!$A:$D, 3, FALSE)</f>
        <v>Y</v>
      </c>
      <c r="D92">
        <f>VLOOKUP(A92,sonificationORaudification!$A:$D, 4, FALSE)</f>
        <v>0</v>
      </c>
    </row>
    <row r="93" spans="1:4">
      <c r="A93" t="s">
        <v>97</v>
      </c>
      <c r="B93">
        <v>9</v>
      </c>
      <c r="C93" t="str">
        <f>VLOOKUP(A93,sonificationORaudification!$A:$D, 3, FALSE)</f>
        <v>Y</v>
      </c>
      <c r="D93">
        <f>VLOOKUP(A93,sonificationORaudification!$A:$D, 4, FALSE)</f>
        <v>0</v>
      </c>
    </row>
    <row r="94" spans="1:4">
      <c r="A94" t="s">
        <v>98</v>
      </c>
      <c r="B94">
        <v>8</v>
      </c>
      <c r="C94" t="str">
        <f>VLOOKUP(A94,sonificationORaudification!$A:$D, 3, FALSE)</f>
        <v>Y</v>
      </c>
      <c r="D94">
        <f>VLOOKUP(A94,sonificationORaudification!$A:$D, 4, FALSE)</f>
        <v>0</v>
      </c>
    </row>
    <row r="95" spans="1:4">
      <c r="A95" t="s">
        <v>99</v>
      </c>
      <c r="B95">
        <v>8</v>
      </c>
      <c r="C95" t="str">
        <f>VLOOKUP(A95,sonificationORaudification!$A:$D, 3, FALSE)</f>
        <v>N</v>
      </c>
      <c r="D95">
        <f>VLOOKUP(A95,sonificationORaudification!$A:$D, 4, FALSE)</f>
        <v>0</v>
      </c>
    </row>
    <row r="96" spans="1:4">
      <c r="A96" t="s">
        <v>100</v>
      </c>
      <c r="B96">
        <v>8</v>
      </c>
      <c r="C96" t="str">
        <f>VLOOKUP(A96,sonificationORaudification!$A:$D, 3, FALSE)</f>
        <v>Y</v>
      </c>
      <c r="D96">
        <f>VLOOKUP(A96,sonificationORaudification!$A:$D, 4, FALSE)</f>
        <v>0</v>
      </c>
    </row>
    <row r="97" spans="1:4">
      <c r="A97" t="s">
        <v>101</v>
      </c>
      <c r="B97">
        <v>8</v>
      </c>
      <c r="C97" t="str">
        <f>VLOOKUP(A97,sonificationORaudification!$A:$D, 3, FALSE)</f>
        <v>N</v>
      </c>
      <c r="D97">
        <f>VLOOKUP(A97,sonificationORaudification!$A:$D, 4, FALSE)</f>
        <v>0</v>
      </c>
    </row>
    <row r="98" spans="1:4">
      <c r="A98" t="s">
        <v>102</v>
      </c>
      <c r="B98">
        <v>8</v>
      </c>
      <c r="C98" t="str">
        <f>VLOOKUP(A98,sonificationORaudification!$A:$D, 3, FALSE)</f>
        <v>Y</v>
      </c>
      <c r="D98" t="str">
        <f>VLOOKUP(A98,sonificationORaudification!$A:$D, 4, FALSE)</f>
        <v>new term: sonorization!</v>
      </c>
    </row>
    <row r="99" spans="1:4">
      <c r="A99" t="s">
        <v>103</v>
      </c>
      <c r="B99">
        <v>8</v>
      </c>
      <c r="C99" t="str">
        <f>VLOOKUP(A99,sonificationORaudification!$A:$D, 3, FALSE)</f>
        <v>Y</v>
      </c>
      <c r="D99">
        <f>VLOOKUP(A99,sonificationORaudification!$A:$D, 4, FALSE)</f>
        <v>0</v>
      </c>
    </row>
    <row r="100" spans="1:4">
      <c r="A100" t="s">
        <v>104</v>
      </c>
      <c r="B100">
        <v>8</v>
      </c>
      <c r="C100" t="str">
        <f>VLOOKUP(A100,sonificationORaudification!$A:$D, 3, FALSE)</f>
        <v>N</v>
      </c>
      <c r="D100">
        <f>VLOOKUP(A100,sonificationORaudification!$A:$D, 4, FALSE)</f>
        <v>0</v>
      </c>
    </row>
    <row r="101" spans="1:4">
      <c r="A101" t="s">
        <v>105</v>
      </c>
      <c r="B101">
        <v>8</v>
      </c>
      <c r="C101" t="str">
        <f>VLOOKUP(A101,sonificationORaudification!$A:$D, 3, FALSE)</f>
        <v>Y</v>
      </c>
      <c r="D101">
        <f>VLOOKUP(A101,sonificationORaudification!$A:$D, 4, FALSE)</f>
        <v>0</v>
      </c>
    </row>
    <row r="102" spans="1:4">
      <c r="A102" t="s">
        <v>106</v>
      </c>
      <c r="B102">
        <v>8</v>
      </c>
      <c r="C102" t="str">
        <f>VLOOKUP(A102,sonificationORaudification!$A:$D, 3, FALSE)</f>
        <v>Y</v>
      </c>
      <c r="D102">
        <f>VLOOKUP(A102,sonificationORaudification!$A:$D, 4, FALSE)</f>
        <v>0</v>
      </c>
    </row>
    <row r="103" spans="1:4">
      <c r="A103" t="s">
        <v>107</v>
      </c>
      <c r="B103">
        <v>8</v>
      </c>
      <c r="C103" t="str">
        <f>VLOOKUP(A103,sonificationORaudification!$A:$D, 3, FALSE)</f>
        <v>Y</v>
      </c>
      <c r="D103" t="str">
        <f>VLOOKUP(A103,sonificationORaudification!$A:$D, 4, FALSE)</f>
        <v>Notice that the results also include referee reports which we probably don't want to include in analysis.</v>
      </c>
    </row>
    <row r="104" spans="1:4">
      <c r="A104" t="s">
        <v>108</v>
      </c>
      <c r="B104">
        <v>7</v>
      </c>
      <c r="C104" t="str">
        <f>VLOOKUP(A104,sonificationORaudification!$A:$D, 3, FALSE)</f>
        <v>N</v>
      </c>
      <c r="D104">
        <f>VLOOKUP(A104,sonificationORaudification!$A:$D, 4, FALSE)</f>
        <v>0</v>
      </c>
    </row>
    <row r="105" spans="1:4">
      <c r="A105" t="s">
        <v>109</v>
      </c>
      <c r="B105">
        <v>7</v>
      </c>
      <c r="C105" t="str">
        <f>VLOOKUP(A105,sonificationORaudification!$A:$D, 3, FALSE)</f>
        <v>N</v>
      </c>
      <c r="D105">
        <f>VLOOKUP(A105,sonificationORaudification!$A:$D, 4, FALSE)</f>
        <v>0</v>
      </c>
    </row>
    <row r="106" spans="1:4">
      <c r="A106" t="s">
        <v>110</v>
      </c>
      <c r="B106">
        <v>7</v>
      </c>
      <c r="C106" t="str">
        <f>VLOOKUP(A106,sonificationORaudification!$A:$D, 3, FALSE)</f>
        <v>Y</v>
      </c>
      <c r="D106" t="str">
        <f>VLOOKUP(A106,sonificationORaudification!$A:$D, 4, FALSE)</f>
        <v>one relevant: https://repository.gatech.edu/handle/1853/61512</v>
      </c>
    </row>
    <row r="107" spans="1:4">
      <c r="A107" t="s">
        <v>111</v>
      </c>
      <c r="B107">
        <v>7</v>
      </c>
      <c r="C107" t="str">
        <f>VLOOKUP(A107,sonificationORaudification!$A:$D, 3, FALSE)</f>
        <v>N</v>
      </c>
      <c r="D107">
        <f>VLOOKUP(A107,sonificationORaudification!$A:$D, 4, FALSE)</f>
        <v>0</v>
      </c>
    </row>
    <row r="108" spans="1:4">
      <c r="A108" t="s">
        <v>112</v>
      </c>
      <c r="B108">
        <v>7</v>
      </c>
      <c r="C108" t="str">
        <f>VLOOKUP(A108,sonificationORaudification!$A:$D, 3, FALSE)</f>
        <v>N</v>
      </c>
      <c r="D108">
        <f>VLOOKUP(A108,sonificationORaudification!$A:$D, 4, FALSE)</f>
        <v>0</v>
      </c>
    </row>
    <row r="109" spans="1:4">
      <c r="A109" t="s">
        <v>113</v>
      </c>
      <c r="B109">
        <v>7</v>
      </c>
      <c r="C109" t="str">
        <f>VLOOKUP(A109,sonificationORaudification!$A:$D, 3, FALSE)</f>
        <v>N</v>
      </c>
      <c r="D109">
        <f>VLOOKUP(A109,sonificationORaudification!$A:$D, 4, FALSE)</f>
        <v>0</v>
      </c>
    </row>
    <row r="110" spans="1:4">
      <c r="A110" t="s">
        <v>114</v>
      </c>
      <c r="B110">
        <v>7</v>
      </c>
      <c r="C110" t="str">
        <f>VLOOKUP(A110,sonificationORaudification!$A:$D, 3, FALSE)</f>
        <v>N</v>
      </c>
      <c r="D110">
        <f>VLOOKUP(A110,sonificationORaudification!$A:$D, 4, FALSE)</f>
        <v>0</v>
      </c>
    </row>
    <row r="111" spans="1:4">
      <c r="A111" t="s">
        <v>115</v>
      </c>
      <c r="B111">
        <v>7</v>
      </c>
      <c r="C111" t="str">
        <f>VLOOKUP(A111,sonificationORaudification!$A:$D, 3, FALSE)</f>
        <v>N</v>
      </c>
      <c r="D111">
        <f>VLOOKUP(A111,sonificationORaudification!$A:$D, 4, FALSE)</f>
        <v>0</v>
      </c>
    </row>
    <row r="112" spans="1:4">
      <c r="A112" t="s">
        <v>116</v>
      </c>
      <c r="B112">
        <v>7</v>
      </c>
      <c r="C112" t="str">
        <f>VLOOKUP(A112,sonificationORaudification!$A:$D, 3, FALSE)</f>
        <v>Y</v>
      </c>
      <c r="D112">
        <f>VLOOKUP(A112,sonificationORaudification!$A:$D, 4, FALSE)</f>
        <v>0</v>
      </c>
    </row>
    <row r="113" spans="1:4">
      <c r="A113" t="s">
        <v>117</v>
      </c>
      <c r="B113">
        <v>7</v>
      </c>
      <c r="C113" t="str">
        <f>VLOOKUP(A113,sonificationORaudification!$A:$D, 3, FALSE)</f>
        <v>Y</v>
      </c>
      <c r="D113">
        <f>VLOOKUP(A113,sonificationORaudification!$A:$D, 4, FALSE)</f>
        <v>0</v>
      </c>
    </row>
    <row r="114" spans="1:4">
      <c r="A114" t="s">
        <v>118</v>
      </c>
      <c r="B114">
        <v>7</v>
      </c>
      <c r="C114" t="str">
        <f>VLOOKUP(A114,sonificationORaudification!$A:$D, 3, FALSE)</f>
        <v>N</v>
      </c>
      <c r="D114">
        <f>VLOOKUP(A114,sonificationORaudification!$A:$D, 4, FALSE)</f>
        <v>0</v>
      </c>
    </row>
    <row r="115" spans="1:4">
      <c r="A115" t="s">
        <v>119</v>
      </c>
      <c r="B115">
        <v>7</v>
      </c>
      <c r="C115" t="str">
        <f>VLOOKUP(A115,sonificationORaudification!$A:$D, 3, FALSE)</f>
        <v>Y</v>
      </c>
      <c r="D115">
        <f>VLOOKUP(A115,sonificationORaudification!$A:$D, 4, FALSE)</f>
        <v>0</v>
      </c>
    </row>
    <row r="116" spans="1:4">
      <c r="A116" t="s">
        <v>120</v>
      </c>
      <c r="B116">
        <v>7</v>
      </c>
      <c r="C116" t="str">
        <f>VLOOKUP(A116,sonificationORaudification!$A:$D, 3, FALSE)</f>
        <v>Y</v>
      </c>
      <c r="D116">
        <f>VLOOKUP(A116,sonificationORaudification!$A:$D, 4, FALSE)</f>
        <v>0</v>
      </c>
    </row>
    <row r="117" spans="1:4">
      <c r="A117" t="s">
        <v>121</v>
      </c>
      <c r="B117">
        <v>7</v>
      </c>
      <c r="C117" t="s">
        <v>122</v>
      </c>
      <c r="D117" t="s">
        <v>123</v>
      </c>
    </row>
    <row r="118" spans="1:4">
      <c r="A118" t="s">
        <v>124</v>
      </c>
      <c r="B118">
        <v>7</v>
      </c>
      <c r="C118" t="str">
        <f>VLOOKUP(A118,sonificationORaudification!$A:$D, 3, FALSE)</f>
        <v>Y</v>
      </c>
      <c r="D118" t="str">
        <f>VLOOKUP(A118,sonificationORaudification!$A:$D, 4, FALSE)</f>
        <v>one seems relevant: https://link.springer.com/article/10.1007/s00146-011-0358-y</v>
      </c>
    </row>
    <row r="119" spans="1:4">
      <c r="A119" t="s">
        <v>125</v>
      </c>
      <c r="B119">
        <v>7</v>
      </c>
      <c r="C119" t="str">
        <f>VLOOKUP(A119,sonificationORaudification!$A:$D, 3, FALSE)</f>
        <v>Y</v>
      </c>
      <c r="D119">
        <f>VLOOKUP(A119,sonificationORaudification!$A:$D, 4, FALSE)</f>
        <v>0</v>
      </c>
    </row>
    <row r="120" spans="1:4">
      <c r="A120" t="s">
        <v>126</v>
      </c>
      <c r="B120">
        <v>7</v>
      </c>
      <c r="C120" t="s">
        <v>74</v>
      </c>
      <c r="D120" s="6" t="s">
        <v>127</v>
      </c>
    </row>
    <row r="121" spans="1:4">
      <c r="A121" t="s">
        <v>128</v>
      </c>
      <c r="B121">
        <v>7</v>
      </c>
      <c r="C121" t="str">
        <f>VLOOKUP(A121,sonificationORaudification!$A:$D, 3, FALSE)</f>
        <v>Y</v>
      </c>
      <c r="D121" t="str">
        <f>VLOOKUP(A121,sonificationORaudification!$A:$D, 4, FALSE)</f>
        <v>one entry repeated 3 times</v>
      </c>
    </row>
    <row r="122" spans="1:4">
      <c r="A122" t="s">
        <v>129</v>
      </c>
      <c r="B122">
        <v>7</v>
      </c>
      <c r="C122" t="s">
        <v>74</v>
      </c>
      <c r="D122" t="s">
        <v>75</v>
      </c>
    </row>
    <row r="123" spans="1:4">
      <c r="A123" t="s">
        <v>130</v>
      </c>
      <c r="B123">
        <v>7</v>
      </c>
      <c r="C123" t="str">
        <f>VLOOKUP(A123,sonificationORaudification!$A:$D, 3, FALSE)</f>
        <v>Y</v>
      </c>
      <c r="D123">
        <f>VLOOKUP(A123,sonificationORaudification!$A:$D, 4, FALSE)</f>
        <v>0</v>
      </c>
    </row>
    <row r="124" spans="1:4">
      <c r="A124" t="s">
        <v>131</v>
      </c>
      <c r="B124">
        <v>7</v>
      </c>
      <c r="C124" t="str">
        <f>VLOOKUP(A124,sonificationORaudification!$A:$D, 3, FALSE)</f>
        <v>Y</v>
      </c>
      <c r="D124">
        <f>VLOOKUP(A124,sonificationORaudification!$A:$D, 4, FALSE)</f>
        <v>0</v>
      </c>
    </row>
    <row r="125" spans="1:4">
      <c r="A125" t="s">
        <v>132</v>
      </c>
      <c r="B125">
        <v>7</v>
      </c>
      <c r="C125" t="str">
        <f>VLOOKUP(A125,sonificationORaudification!$A:$D, 3, FALSE)</f>
        <v>Y</v>
      </c>
      <c r="D125">
        <f>VLOOKUP(A125,sonificationORaudification!$A:$D, 4, FALSE)</f>
        <v>0</v>
      </c>
    </row>
    <row r="126" spans="1:4">
      <c r="A126" t="s">
        <v>133</v>
      </c>
      <c r="B126">
        <v>7</v>
      </c>
      <c r="C126" t="s">
        <v>74</v>
      </c>
      <c r="D126" t="s">
        <v>75</v>
      </c>
    </row>
    <row r="127" spans="1:4">
      <c r="A127" t="s">
        <v>134</v>
      </c>
      <c r="B127">
        <v>7</v>
      </c>
      <c r="C127" t="str">
        <f>VLOOKUP(A127,sonificationORaudification!$A:$D, 3, FALSE)</f>
        <v>Y</v>
      </c>
      <c r="D127" t="str">
        <f>VLOOKUP(A127,sonificationORaudification!$A:$D, 4, FALSE)</f>
        <v>its all in french. the ones from CERN seem related.</v>
      </c>
    </row>
    <row r="128" spans="1:4">
      <c r="A128" t="s">
        <v>135</v>
      </c>
      <c r="B128">
        <v>7</v>
      </c>
      <c r="C128" t="str">
        <f>VLOOKUP(A128,sonificationORaudification!$A:$D, 3, FALSE)</f>
        <v>Y</v>
      </c>
      <c r="D128">
        <f>VLOOKUP(A128,sonificationORaudification!$A:$D, 4, FALSE)</f>
        <v>0</v>
      </c>
    </row>
    <row r="129" spans="1:4">
      <c r="A129" t="s">
        <v>136</v>
      </c>
      <c r="B129">
        <v>6</v>
      </c>
      <c r="C129" t="str">
        <f>VLOOKUP(A129,sonificationORaudification!$A:$D, 3, FALSE)</f>
        <v>N</v>
      </c>
      <c r="D129">
        <f>VLOOKUP(A129,sonificationORaudification!$A:$D, 4, FALSE)</f>
        <v>0</v>
      </c>
    </row>
    <row r="130" spans="1:4">
      <c r="A130" t="s">
        <v>137</v>
      </c>
      <c r="B130">
        <v>6</v>
      </c>
      <c r="C130" t="str">
        <f>VLOOKUP(A130,sonificationORaudification!$A:$D, 3, FALSE)</f>
        <v>N</v>
      </c>
      <c r="D130">
        <f>VLOOKUP(A130,sonificationORaudification!$A:$D, 4, FALSE)</f>
        <v>0</v>
      </c>
    </row>
    <row r="131" spans="1:4">
      <c r="A131" t="s">
        <v>138</v>
      </c>
      <c r="B131">
        <v>6</v>
      </c>
      <c r="C131" t="s">
        <v>74</v>
      </c>
      <c r="D131" t="s">
        <v>75</v>
      </c>
    </row>
    <row r="132" spans="1:4">
      <c r="A132" t="s">
        <v>139</v>
      </c>
      <c r="B132">
        <v>6</v>
      </c>
      <c r="C132" t="s">
        <v>122</v>
      </c>
      <c r="D132" t="s">
        <v>140</v>
      </c>
    </row>
    <row r="133" spans="1:4">
      <c r="A133" t="s">
        <v>141</v>
      </c>
      <c r="B133">
        <v>6</v>
      </c>
      <c r="C133" t="str">
        <f>VLOOKUP(A133,sonificationORaudification!$A:$D, 3, FALSE)</f>
        <v>Y</v>
      </c>
      <c r="D133">
        <f>VLOOKUP(A133,sonificationORaudification!$A:$D, 4, FALSE)</f>
        <v>0</v>
      </c>
    </row>
    <row r="134" spans="1:4">
      <c r="A134" t="s">
        <v>142</v>
      </c>
      <c r="B134">
        <v>6</v>
      </c>
      <c r="C134" t="str">
        <f>VLOOKUP(A134,sonificationORaudification!$A:$D, 3, FALSE)</f>
        <v>Y</v>
      </c>
      <c r="D134">
        <f>VLOOKUP(A134,sonificationORaudification!$A:$D, 4, FALSE)</f>
        <v>0</v>
      </c>
    </row>
    <row r="135" spans="1:4">
      <c r="A135" t="s">
        <v>143</v>
      </c>
      <c r="B135">
        <v>6</v>
      </c>
      <c r="C135" t="str">
        <f>VLOOKUP(A135,sonificationORaudification!$A:$D, 3, FALSE)</f>
        <v>Y</v>
      </c>
      <c r="D135" t="str">
        <f>VLOOKUP(A135,sonificationORaudification!$A:$D, 4, FALSE)</f>
        <v>body movement direct sonification</v>
      </c>
    </row>
    <row r="136" spans="1:4">
      <c r="A136" t="s">
        <v>144</v>
      </c>
      <c r="B136">
        <v>6</v>
      </c>
      <c r="C136" t="str">
        <f>VLOOKUP(A136,sonificationORaudification!$A:$D, 3, FALSE)</f>
        <v>Y</v>
      </c>
      <c r="D136">
        <f>VLOOKUP(A136,sonificationORaudification!$A:$D, 4, FALSE)</f>
        <v>0</v>
      </c>
    </row>
    <row r="137" spans="1:4">
      <c r="A137" t="s">
        <v>145</v>
      </c>
      <c r="B137">
        <v>6</v>
      </c>
      <c r="C137" t="str">
        <f>VLOOKUP(A137,sonificationORaudification!$A:$D, 3, FALSE)</f>
        <v>Y</v>
      </c>
      <c r="D137">
        <f>VLOOKUP(A137,sonificationORaudification!$A:$D, 4, FALSE)</f>
        <v>0</v>
      </c>
    </row>
    <row r="138" spans="1:4">
      <c r="A138" t="s">
        <v>146</v>
      </c>
      <c r="B138">
        <v>6</v>
      </c>
      <c r="C138" t="s">
        <v>74</v>
      </c>
      <c r="D138" t="s">
        <v>75</v>
      </c>
    </row>
    <row r="139" spans="1:4">
      <c r="A139" t="s">
        <v>147</v>
      </c>
      <c r="B139">
        <v>6</v>
      </c>
      <c r="C139" t="str">
        <f>VLOOKUP(A139,sonificationORaudification!$A:$D, 3, FALSE)</f>
        <v>N</v>
      </c>
      <c r="D139">
        <f>VLOOKUP(A139,sonificationORaudification!$A:$D, 4, FALSE)</f>
        <v>0</v>
      </c>
    </row>
    <row r="140" spans="1:4">
      <c r="A140" t="s">
        <v>148</v>
      </c>
      <c r="B140">
        <v>6</v>
      </c>
      <c r="C140" t="str">
        <f>VLOOKUP(A140,sonificationORaudification!$A:$D, 3, FALSE)</f>
        <v>Y</v>
      </c>
      <c r="D140">
        <f>VLOOKUP(A140,sonificationORaudification!$A:$D, 4, FALSE)</f>
        <v>0</v>
      </c>
    </row>
    <row r="141" spans="1:4">
      <c r="A141" t="s">
        <v>149</v>
      </c>
      <c r="B141">
        <v>6</v>
      </c>
      <c r="C141" t="str">
        <f>VLOOKUP(A141,sonificationORaudification!$A:$D, 3, FALSE)</f>
        <v>N</v>
      </c>
      <c r="D141">
        <f>VLOOKUP(A141,sonificationORaudification!$A:$D, 4, FALSE)</f>
        <v>0</v>
      </c>
    </row>
    <row r="142" spans="1:4">
      <c r="A142" t="s">
        <v>150</v>
      </c>
      <c r="B142">
        <v>6</v>
      </c>
      <c r="C142" t="str">
        <f>VLOOKUP(A142,sonificationORaudification!$A:$D, 3, FALSE)</f>
        <v>Y</v>
      </c>
      <c r="D142">
        <f>VLOOKUP(A142,sonificationORaudification!$A:$D, 4, FALSE)</f>
        <v>0</v>
      </c>
    </row>
    <row r="143" spans="1:4">
      <c r="A143" t="s">
        <v>151</v>
      </c>
      <c r="B143">
        <v>6</v>
      </c>
      <c r="C143" t="str">
        <f>VLOOKUP(A143,sonificationORaudification!$A:$D, 3, FALSE)</f>
        <v>Y</v>
      </c>
      <c r="D143">
        <f>VLOOKUP(A143,sonificationORaudification!$A:$D, 4, FALSE)</f>
        <v>0</v>
      </c>
    </row>
    <row r="144" spans="1:4">
      <c r="A144" t="s">
        <v>152</v>
      </c>
      <c r="B144">
        <v>6</v>
      </c>
      <c r="C144" t="str">
        <f>VLOOKUP(A144,sonificationORaudification!$A:$D, 3, FALSE)</f>
        <v>Y</v>
      </c>
      <c r="D144" t="str">
        <f>VLOOKUP(A144,sonificationORaudification!$A:$D, 4, FALSE)</f>
        <v>One zenodo entry is repeated 5 times, but looks relevant.</v>
      </c>
    </row>
    <row r="145" spans="1:4">
      <c r="A145" t="s">
        <v>153</v>
      </c>
      <c r="B145">
        <v>6</v>
      </c>
      <c r="C145" t="str">
        <f>VLOOKUP(A145,sonificationORaudification!$A:$D, 3, FALSE)</f>
        <v>N</v>
      </c>
      <c r="D145">
        <f>VLOOKUP(A145,sonificationORaudification!$A:$D, 4, FALSE)</f>
        <v>0</v>
      </c>
    </row>
    <row r="146" spans="1:4">
      <c r="A146" t="s">
        <v>154</v>
      </c>
      <c r="B146">
        <v>6</v>
      </c>
      <c r="C146" t="str">
        <f>VLOOKUP(A146,sonificationORaudification!$A:$D, 3, FALSE)</f>
        <v>Y</v>
      </c>
      <c r="D146">
        <f>VLOOKUP(A146,sonificationORaudification!$A:$D, 4, FALSE)</f>
        <v>0</v>
      </c>
    </row>
    <row r="147" spans="1:4">
      <c r="A147" t="s">
        <v>155</v>
      </c>
      <c r="B147">
        <v>5</v>
      </c>
      <c r="C147" t="str">
        <f>VLOOKUP(A147,sonificationORaudification!$A:$D, 3, FALSE)</f>
        <v>Y</v>
      </c>
      <c r="D147" t="str">
        <f>VLOOKUP(A147,sonificationORaudification!$A:$D, 4, FALSE)</f>
        <v>3 are relevant</v>
      </c>
    </row>
    <row r="148" spans="1:4">
      <c r="A148" t="s">
        <v>156</v>
      </c>
      <c r="B148">
        <v>5</v>
      </c>
      <c r="C148" t="str">
        <f>VLOOKUP(A148,sonificationORaudification!$A:$D, 3, FALSE)</f>
        <v>N</v>
      </c>
      <c r="D148">
        <f>VLOOKUP(A148,sonificationORaudification!$A:$D, 4, FALSE)</f>
        <v>0</v>
      </c>
    </row>
    <row r="149" spans="1:4">
      <c r="A149" t="s">
        <v>157</v>
      </c>
      <c r="B149">
        <v>5</v>
      </c>
      <c r="C149" t="s">
        <v>122</v>
      </c>
      <c r="D149" t="s">
        <v>158</v>
      </c>
    </row>
    <row r="150" spans="1:4">
      <c r="A150" t="s">
        <v>159</v>
      </c>
      <c r="B150">
        <v>5</v>
      </c>
      <c r="C150" t="str">
        <f>VLOOKUP(A150,sonificationORaudification!$A:$D, 3, FALSE)</f>
        <v>N</v>
      </c>
      <c r="D150">
        <f>VLOOKUP(A150,sonificationORaudification!$A:$D, 4, FALSE)</f>
        <v>0</v>
      </c>
    </row>
    <row r="151" spans="1:4">
      <c r="A151" t="s">
        <v>160</v>
      </c>
      <c r="B151">
        <v>5</v>
      </c>
      <c r="C151" t="str">
        <f>VLOOKUP(A151,sonificationORaudification!$A:$D, 3, FALSE)</f>
        <v>N</v>
      </c>
      <c r="D151">
        <f>VLOOKUP(A151,sonificationORaudification!$A:$D, 4, FALSE)</f>
        <v>0</v>
      </c>
    </row>
    <row r="152" spans="1:4">
      <c r="A152" t="s">
        <v>161</v>
      </c>
      <c r="B152">
        <v>5</v>
      </c>
      <c r="C152" t="str">
        <f>VLOOKUP(A152,sonificationORaudification!$A:$D, 3, FALSE)</f>
        <v>Y</v>
      </c>
      <c r="D152">
        <f>VLOOKUP(A152,sonificationORaudification!$A:$D, 4, FALSE)</f>
        <v>0</v>
      </c>
    </row>
    <row r="153" spans="1:4">
      <c r="A153" t="s">
        <v>162</v>
      </c>
      <c r="B153">
        <v>5</v>
      </c>
      <c r="C153" t="str">
        <f>VLOOKUP(A153,sonificationORaudification!$A:$D, 3, FALSE)</f>
        <v>Y</v>
      </c>
      <c r="D153">
        <f>VLOOKUP(A153,sonificationORaudification!$A:$D, 4, FALSE)</f>
        <v>0</v>
      </c>
    </row>
    <row r="154" spans="1:4">
      <c r="A154" t="s">
        <v>163</v>
      </c>
      <c r="B154">
        <v>5</v>
      </c>
      <c r="C154" t="str">
        <f>VLOOKUP(A154,sonificationORaudification!$A:$D, 3, FALSE)</f>
        <v>N</v>
      </c>
      <c r="D154">
        <f>VLOOKUP(A154,sonificationORaudification!$A:$D, 4, FALSE)</f>
        <v>0</v>
      </c>
    </row>
    <row r="155" spans="1:4">
      <c r="A155" t="s">
        <v>164</v>
      </c>
      <c r="B155">
        <v>5</v>
      </c>
      <c r="C155" t="str">
        <f>VLOOKUP(A155,sonificationORaudification!$A:$D, 3, FALSE)</f>
        <v>Y</v>
      </c>
      <c r="D155" t="str">
        <f>VLOOKUP(A155,sonificationORaudification!$A:$D, 4, FALSE)</f>
        <v>1/3 relevant</v>
      </c>
    </row>
    <row r="156" spans="1:4">
      <c r="A156" t="s">
        <v>165</v>
      </c>
      <c r="B156">
        <v>5</v>
      </c>
      <c r="C156" t="str">
        <f>VLOOKUP(A156,sonificationORaudification!$A:$D, 3, FALSE)</f>
        <v>N</v>
      </c>
      <c r="D156">
        <f>VLOOKUP(A156,sonificationORaudification!$A:$D, 4, FALSE)</f>
        <v>0</v>
      </c>
    </row>
    <row r="157" spans="1:4">
      <c r="A157" t="s">
        <v>166</v>
      </c>
      <c r="B157">
        <v>5</v>
      </c>
      <c r="C157" t="str">
        <f>VLOOKUP(A157,sonificationORaudification!$A:$D, 3, FALSE)</f>
        <v>Y</v>
      </c>
      <c r="D157">
        <f>VLOOKUP(A157,sonificationORaudification!$A:$D, 4, FALSE)</f>
        <v>0</v>
      </c>
    </row>
    <row r="158" spans="1:4">
      <c r="A158" t="s">
        <v>167</v>
      </c>
      <c r="B158">
        <v>5</v>
      </c>
      <c r="C158" t="str">
        <f>VLOOKUP(A158,sonificationORaudification!$A:$D, 3, FALSE)</f>
        <v>N</v>
      </c>
      <c r="D158">
        <f>VLOOKUP(A158,sonificationORaudification!$A:$D, 4, FALSE)</f>
        <v>0</v>
      </c>
    </row>
    <row r="159" spans="1:4">
      <c r="A159" t="s">
        <v>168</v>
      </c>
      <c r="B159">
        <v>5</v>
      </c>
      <c r="C159" t="s">
        <v>122</v>
      </c>
      <c r="D159" t="s">
        <v>140</v>
      </c>
    </row>
    <row r="160" spans="1:4">
      <c r="A160" t="s">
        <v>169</v>
      </c>
      <c r="B160">
        <v>5</v>
      </c>
      <c r="C160" t="str">
        <f>VLOOKUP(A160,sonificationORaudification!$A:$D, 3, FALSE)</f>
        <v>N</v>
      </c>
      <c r="D160">
        <f>VLOOKUP(A160,sonificationORaudification!$A:$D, 4, FALSE)</f>
        <v>0</v>
      </c>
    </row>
    <row r="161" spans="1:4">
      <c r="A161" t="s">
        <v>170</v>
      </c>
      <c r="B161">
        <v>5</v>
      </c>
      <c r="C161" t="s">
        <v>74</v>
      </c>
      <c r="D161" t="s">
        <v>75</v>
      </c>
    </row>
    <row r="162" spans="1:4">
      <c r="A162" t="s">
        <v>171</v>
      </c>
      <c r="B162">
        <v>5</v>
      </c>
      <c r="C162" t="str">
        <f>VLOOKUP(A162,sonificationORaudification!$A:$D, 3, FALSE)</f>
        <v>Y</v>
      </c>
      <c r="D162">
        <f>VLOOKUP(A162,sonificationORaudification!$A:$D, 4, FALSE)</f>
        <v>0</v>
      </c>
    </row>
    <row r="163" spans="1:4">
      <c r="A163" t="s">
        <v>172</v>
      </c>
      <c r="B163">
        <v>5</v>
      </c>
      <c r="C163" t="str">
        <f>VLOOKUP(A163,sonificationORaudification!$A:$D, 3, FALSE)</f>
        <v>N</v>
      </c>
      <c r="D163">
        <f>VLOOKUP(A163,sonificationORaudification!$A:$D, 4, FALSE)</f>
        <v>0</v>
      </c>
    </row>
    <row r="164" spans="1:4">
      <c r="A164" t="s">
        <v>173</v>
      </c>
      <c r="B164">
        <v>5</v>
      </c>
      <c r="C164" t="s">
        <v>122</v>
      </c>
      <c r="D164" t="s">
        <v>75</v>
      </c>
    </row>
    <row r="165" spans="1:4">
      <c r="A165" t="s">
        <v>174</v>
      </c>
      <c r="B165">
        <v>5</v>
      </c>
      <c r="C165" t="str">
        <f>VLOOKUP(A165,sonificationORaudification!$A:$D, 3, FALSE)</f>
        <v>Y</v>
      </c>
      <c r="D165" t="str">
        <f>VLOOKUP(A165,sonificationORaudification!$A:$D, 4, FALSE)</f>
        <v>4 seem to be assignments at university of sydney, perhaps for sonification course</v>
      </c>
    </row>
    <row r="166" spans="1:4">
      <c r="A166" t="s">
        <v>175</v>
      </c>
      <c r="B166">
        <v>5</v>
      </c>
      <c r="C166" t="str">
        <f>VLOOKUP(A166,sonificationORaudification!$A:$D, 3, FALSE)</f>
        <v>N</v>
      </c>
      <c r="D166" t="str">
        <f>VLOOKUP(A166,sonificationORaudification!$A:$D, 4, FALSE)</f>
        <v>Applying sonification seems to be a ultra-sound like technique</v>
      </c>
    </row>
    <row r="167" spans="1:4">
      <c r="A167" t="s">
        <v>176</v>
      </c>
      <c r="B167">
        <v>5</v>
      </c>
      <c r="C167" t="s">
        <v>122</v>
      </c>
      <c r="D167" t="s">
        <v>75</v>
      </c>
    </row>
    <row r="168" spans="1:4">
      <c r="A168" t="s">
        <v>177</v>
      </c>
      <c r="B168">
        <v>5</v>
      </c>
      <c r="C168" t="s">
        <v>74</v>
      </c>
      <c r="D168" t="s">
        <v>75</v>
      </c>
    </row>
    <row r="169" spans="1:4">
      <c r="A169" t="s">
        <v>178</v>
      </c>
      <c r="B169">
        <v>5</v>
      </c>
      <c r="C169" t="s">
        <v>74</v>
      </c>
      <c r="D169" t="s">
        <v>75</v>
      </c>
    </row>
    <row r="170" spans="1:4">
      <c r="A170" t="s">
        <v>179</v>
      </c>
      <c r="B170">
        <v>5</v>
      </c>
      <c r="C170" t="s">
        <v>74</v>
      </c>
      <c r="D170" t="s">
        <v>75</v>
      </c>
    </row>
    <row r="171" spans="1:4">
      <c r="A171" t="s">
        <v>180</v>
      </c>
      <c r="B171">
        <v>5</v>
      </c>
      <c r="C171" t="s">
        <v>74</v>
      </c>
      <c r="D171" t="s">
        <v>75</v>
      </c>
    </row>
    <row r="172" spans="1:4">
      <c r="A172" t="s">
        <v>181</v>
      </c>
      <c r="B172">
        <v>5</v>
      </c>
      <c r="C172" t="s">
        <v>74</v>
      </c>
      <c r="D172" t="s">
        <v>75</v>
      </c>
    </row>
    <row r="173" spans="1:4">
      <c r="A173" t="s">
        <v>182</v>
      </c>
      <c r="B173">
        <v>5</v>
      </c>
      <c r="C173" t="str">
        <f>VLOOKUP(A173,sonificationORaudification!$A:$D, 3, FALSE)</f>
        <v>N</v>
      </c>
      <c r="D173">
        <f>VLOOKUP(A173,sonificationORaudification!$A:$D, 4, FALSE)</f>
        <v>0</v>
      </c>
    </row>
    <row r="174" spans="1:4">
      <c r="A174" t="s">
        <v>183</v>
      </c>
      <c r="B174">
        <v>5</v>
      </c>
      <c r="C174" t="str">
        <f>VLOOKUP(A174,sonificationORaudification!$A:$D, 3, FALSE)</f>
        <v>N</v>
      </c>
      <c r="D174">
        <f>VLOOKUP(A174,sonificationORaudification!$A:$D, 4, FALSE)</f>
        <v>0</v>
      </c>
    </row>
    <row r="175" spans="1:4">
      <c r="A175" t="s">
        <v>184</v>
      </c>
      <c r="B175">
        <v>5</v>
      </c>
      <c r="C175" t="str">
        <f>VLOOKUP(A175,sonificationORaudification!$A:$D, 3, FALSE)</f>
        <v>Y</v>
      </c>
      <c r="D175">
        <f>VLOOKUP(A175,sonificationORaudification!$A:$D, 4, FALSE)</f>
        <v>0</v>
      </c>
    </row>
    <row r="176" spans="1:4">
      <c r="A176" t="s">
        <v>185</v>
      </c>
      <c r="B176">
        <v>5</v>
      </c>
      <c r="C176" t="str">
        <f>VLOOKUP(A176,sonificationORaudification!$A:$D, 3, FALSE)</f>
        <v>Y</v>
      </c>
      <c r="D176">
        <f>VLOOKUP(A176,sonificationORaudification!$A:$D, 4, FALSE)</f>
        <v>0</v>
      </c>
    </row>
    <row r="177" spans="1:4">
      <c r="A177" t="s">
        <v>186</v>
      </c>
      <c r="B177">
        <v>5</v>
      </c>
      <c r="C177" t="s">
        <v>74</v>
      </c>
      <c r="D177" t="s">
        <v>75</v>
      </c>
    </row>
    <row r="178" spans="1:4">
      <c r="A178" t="s">
        <v>187</v>
      </c>
      <c r="B178">
        <v>4</v>
      </c>
      <c r="C178" t="str">
        <f>VLOOKUP(A178,sonificationORaudification!$A:$D, 3, FALSE)</f>
        <v>N</v>
      </c>
      <c r="D178">
        <f>VLOOKUP(A178,sonificationORaudification!$A:$D, 4, FALSE)</f>
        <v>0</v>
      </c>
    </row>
    <row r="179" spans="1:4">
      <c r="A179" t="s">
        <v>188</v>
      </c>
      <c r="B179">
        <v>4</v>
      </c>
      <c r="C179" t="str">
        <f>VLOOKUP(A179,sonificationORaudification!$A:$D, 3, FALSE)</f>
        <v>N</v>
      </c>
      <c r="D179">
        <f>VLOOKUP(A179,sonificationORaudification!$A:$D, 4, FALSE)</f>
        <v>0</v>
      </c>
    </row>
    <row r="180" spans="1:4">
      <c r="A180" t="s">
        <v>189</v>
      </c>
      <c r="B180">
        <v>4</v>
      </c>
      <c r="C180" t="str">
        <f>VLOOKUP(A180,sonificationORaudification!$A:$D, 3, FALSE)</f>
        <v>N</v>
      </c>
      <c r="D180">
        <f>VLOOKUP(A180,sonificationORaudification!$A:$D, 4, FALSE)</f>
        <v>0</v>
      </c>
    </row>
    <row r="181" spans="1:4">
      <c r="A181" t="s">
        <v>190</v>
      </c>
      <c r="B181">
        <v>4</v>
      </c>
      <c r="C181" t="str">
        <f>VLOOKUP(A181,sonificationORaudification!$A:$D, 3, FALSE)</f>
        <v>N</v>
      </c>
      <c r="D181">
        <f>VLOOKUP(A181,sonificationORaudification!$A:$D, 4, FALSE)</f>
        <v>0</v>
      </c>
    </row>
    <row r="182" spans="1:4">
      <c r="A182" t="s">
        <v>191</v>
      </c>
      <c r="B182">
        <v>4</v>
      </c>
      <c r="C182" t="s">
        <v>74</v>
      </c>
      <c r="D182" t="s">
        <v>75</v>
      </c>
    </row>
    <row r="183" spans="1:4">
      <c r="A183" t="s">
        <v>192</v>
      </c>
      <c r="B183">
        <v>4</v>
      </c>
      <c r="C183" t="str">
        <f>VLOOKUP(A183,sonificationORaudification!$A:$D, 3, FALSE)</f>
        <v>N</v>
      </c>
      <c r="D183">
        <f>VLOOKUP(A183,sonificationORaudification!$A:$D, 4, FALSE)</f>
        <v>0</v>
      </c>
    </row>
    <row r="184" spans="1:4">
      <c r="A184" t="s">
        <v>193</v>
      </c>
      <c r="B184">
        <v>4</v>
      </c>
      <c r="C184" t="str">
        <f>VLOOKUP(A184,sonificationORaudification!$A:$D, 3, FALSE)</f>
        <v>N</v>
      </c>
      <c r="D184" t="str">
        <f>VLOOKUP(A184,sonificationORaudification!$A:$D, 4, FALSE)</f>
        <v>Ultra-sonic type treatment</v>
      </c>
    </row>
    <row r="185" spans="1:4">
      <c r="A185" t="s">
        <v>194</v>
      </c>
      <c r="B185">
        <v>4</v>
      </c>
      <c r="C185" t="str">
        <f>VLOOKUP(A185,sonificationORaudification!$A:$D, 3, FALSE)</f>
        <v>N</v>
      </c>
      <c r="D185">
        <f>VLOOKUP(A185,sonificationORaudification!$A:$D, 4, FALSE)</f>
        <v>0</v>
      </c>
    </row>
    <row r="186" spans="1:4">
      <c r="A186" t="s">
        <v>195</v>
      </c>
      <c r="B186">
        <v>4</v>
      </c>
      <c r="C186" t="str">
        <f>VLOOKUP(A186,sonificationORaudification!$A:$D, 3, FALSE)</f>
        <v>Y</v>
      </c>
      <c r="D186">
        <f>VLOOKUP(A186,sonificationORaudification!$A:$D, 4, FALSE)</f>
        <v>0</v>
      </c>
    </row>
    <row r="187" spans="1:4">
      <c r="A187" t="s">
        <v>196</v>
      </c>
      <c r="B187">
        <v>4</v>
      </c>
      <c r="C187" t="str">
        <f>VLOOKUP(A187,sonificationORaudification!$A:$D, 3, FALSE)</f>
        <v>N</v>
      </c>
      <c r="D187" t="str">
        <f>VLOOKUP(A187,sonificationORaudification!$A:$D, 4, FALSE)</f>
        <v>Ultra-sonic type treatment</v>
      </c>
    </row>
    <row r="188" spans="1:4">
      <c r="A188" t="s">
        <v>197</v>
      </c>
      <c r="B188">
        <v>4</v>
      </c>
      <c r="C188" t="str">
        <f>VLOOKUP(A188,sonificationORaudification!$A:$D, 3, FALSE)</f>
        <v>Y</v>
      </c>
      <c r="D188">
        <f>VLOOKUP(A188,sonificationORaudification!$A:$D, 4, FALSE)</f>
        <v>0</v>
      </c>
    </row>
    <row r="189" spans="1:4">
      <c r="A189" t="s">
        <v>198</v>
      </c>
      <c r="B189">
        <v>4</v>
      </c>
      <c r="C189" t="str">
        <f>VLOOKUP(A189,sonificationORaudification!$A:$D, 3, FALSE)</f>
        <v>Y</v>
      </c>
      <c r="D189">
        <f>VLOOKUP(A189,sonificationORaudification!$A:$D, 4, FALSE)</f>
        <v>0</v>
      </c>
    </row>
    <row r="190" spans="1:4">
      <c r="A190" t="s">
        <v>199</v>
      </c>
      <c r="B190">
        <v>4</v>
      </c>
      <c r="C190" t="str">
        <f>VLOOKUP(A190,sonificationORaudification!$A:$D, 3, FALSE)</f>
        <v>N</v>
      </c>
      <c r="D190">
        <f>VLOOKUP(A190,sonificationORaudification!$A:$D, 4, FALSE)</f>
        <v>0</v>
      </c>
    </row>
    <row r="191" spans="1:4">
      <c r="A191" t="s">
        <v>200</v>
      </c>
      <c r="B191">
        <v>4</v>
      </c>
      <c r="C191" t="str">
        <f>VLOOKUP(A191,sonificationORaudification!$A:$D, 3, FALSE)</f>
        <v>N</v>
      </c>
      <c r="D191">
        <f>VLOOKUP(A191,sonificationORaudification!$A:$D, 4, FALSE)</f>
        <v>0</v>
      </c>
    </row>
    <row r="192" spans="1:4">
      <c r="A192" t="s">
        <v>201</v>
      </c>
      <c r="B192">
        <v>4</v>
      </c>
      <c r="C192" t="str">
        <f>VLOOKUP(A192,sonificationORaudification!$A:$D, 3, FALSE)</f>
        <v>N</v>
      </c>
      <c r="D192">
        <f>VLOOKUP(A192,sonificationORaudification!$A:$D, 4, FALSE)</f>
        <v>0</v>
      </c>
    </row>
    <row r="193" spans="1:4">
      <c r="A193" t="s">
        <v>202</v>
      </c>
      <c r="B193">
        <v>4</v>
      </c>
      <c r="C193" t="str">
        <f>VLOOKUP(A193,sonificationORaudification!$A:$D, 3, FALSE)</f>
        <v>Y</v>
      </c>
      <c r="D193">
        <f>VLOOKUP(A193,sonificationORaudification!$A:$D, 4, FALSE)</f>
        <v>0</v>
      </c>
    </row>
    <row r="194" spans="1:4">
      <c r="A194" t="s">
        <v>203</v>
      </c>
      <c r="B194">
        <v>4</v>
      </c>
      <c r="C194" t="s">
        <v>74</v>
      </c>
      <c r="D194" t="s">
        <v>75</v>
      </c>
    </row>
    <row r="195" spans="1:4">
      <c r="A195" t="s">
        <v>204</v>
      </c>
      <c r="B195">
        <v>4</v>
      </c>
      <c r="C195" t="s">
        <v>74</v>
      </c>
      <c r="D195">
        <v>0</v>
      </c>
    </row>
    <row r="196" spans="1:4">
      <c r="A196" t="s">
        <v>205</v>
      </c>
      <c r="B196">
        <v>4</v>
      </c>
      <c r="C196" t="str">
        <f>VLOOKUP(A196,sonificationORaudification!$A:$D, 3, FALSE)</f>
        <v>Y</v>
      </c>
      <c r="D196">
        <f>VLOOKUP(A196,sonificationORaudification!$A:$D, 4, FALSE)</f>
        <v>0</v>
      </c>
    </row>
    <row r="197" spans="1:4">
      <c r="A197" t="s">
        <v>206</v>
      </c>
      <c r="B197">
        <v>4</v>
      </c>
      <c r="C197" t="s">
        <v>74</v>
      </c>
      <c r="D197">
        <v>0</v>
      </c>
    </row>
    <row r="198" spans="1:4">
      <c r="A198" t="s">
        <v>207</v>
      </c>
      <c r="B198">
        <v>4</v>
      </c>
      <c r="C198" t="str">
        <f>VLOOKUP(A198,sonificationORaudification!$A:$D, 3, FALSE)</f>
        <v>N</v>
      </c>
      <c r="D198">
        <f>VLOOKUP(A198,sonificationORaudification!$A:$D, 4, FALSE)</f>
        <v>0</v>
      </c>
    </row>
    <row r="199" spans="1:4">
      <c r="A199" t="s">
        <v>208</v>
      </c>
      <c r="B199">
        <v>4</v>
      </c>
      <c r="C199" t="s">
        <v>74</v>
      </c>
      <c r="D199" t="s">
        <v>75</v>
      </c>
    </row>
    <row r="200" spans="1:4">
      <c r="A200" t="s">
        <v>209</v>
      </c>
      <c r="B200">
        <v>4</v>
      </c>
      <c r="C200" t="str">
        <f>VLOOKUP(A200,sonificationORaudification!$A:$D, 3, FALSE)</f>
        <v>Y</v>
      </c>
      <c r="D200">
        <f>VLOOKUP(A200,sonificationORaudification!$A:$D, 4, FALSE)</f>
        <v>0</v>
      </c>
    </row>
    <row r="201" spans="1:4">
      <c r="A201" t="s">
        <v>210</v>
      </c>
      <c r="B201">
        <v>4</v>
      </c>
      <c r="C201" t="s">
        <v>74</v>
      </c>
      <c r="D201" t="s">
        <v>75</v>
      </c>
    </row>
    <row r="202" spans="1:4" s="5" customFormat="1">
      <c r="B202" s="5">
        <f>SUM(B2:B201)</f>
        <v>5960</v>
      </c>
    </row>
  </sheetData>
  <conditionalFormatting sqref="C1:D1048576">
    <cfRule type="containsErrors" dxfId="0" priority="1">
      <formula>ISERROR(C1)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FD834-91C8-4544-8695-39B4E56FB126}">
  <dimension ref="A1:L201"/>
  <sheetViews>
    <sheetView topLeftCell="A163" workbookViewId="0">
      <selection activeCell="A202" sqref="A202"/>
    </sheetView>
  </sheetViews>
  <sheetFormatPr defaultRowHeight="15"/>
  <cols>
    <col min="1" max="1" width="51.85546875" bestFit="1" customWidth="1"/>
    <col min="7" max="7" width="9.140625" style="2"/>
  </cols>
  <sheetData>
    <row r="1" spans="1:12">
      <c r="A1" t="s">
        <v>0</v>
      </c>
      <c r="B1" t="s">
        <v>1</v>
      </c>
      <c r="C1" t="s">
        <v>2</v>
      </c>
      <c r="D1" t="s">
        <v>3</v>
      </c>
      <c r="G1" s="2" t="s">
        <v>211</v>
      </c>
    </row>
    <row r="2" spans="1:12">
      <c r="A2" s="1" t="s">
        <v>4</v>
      </c>
      <c r="B2" s="1">
        <v>1119</v>
      </c>
      <c r="C2" t="s">
        <v>74</v>
      </c>
      <c r="G2" s="2" t="str">
        <f>IF(ISNA(VLOOKUP(A2,allTerms!$A$2:$A$201, 1, FALSE)), "Missing", "Found")</f>
        <v>Found</v>
      </c>
    </row>
    <row r="3" spans="1:12">
      <c r="A3" s="1" t="s">
        <v>5</v>
      </c>
      <c r="B3" s="1">
        <v>710</v>
      </c>
      <c r="C3" t="s">
        <v>74</v>
      </c>
      <c r="G3" s="2" t="str">
        <f>IF(ISNA(VLOOKUP(A3,allTerms!$A$2:$A$201, 1, FALSE)), "Missing", "Found")</f>
        <v>Found</v>
      </c>
    </row>
    <row r="4" spans="1:12">
      <c r="A4" s="1" t="s">
        <v>11</v>
      </c>
      <c r="B4" s="1">
        <v>109</v>
      </c>
      <c r="C4" t="s">
        <v>74</v>
      </c>
      <c r="G4" s="2" t="str">
        <f>IF(ISNA(VLOOKUP(A4,allTerms!$A$2:$A$201, 1, FALSE)), "Missing", "Found")</f>
        <v>Found</v>
      </c>
      <c r="L4" t="str" cm="1">
        <f t="array" ref="L4:L68">_xlfn._xlws.FILTER(A1:A202,C1:C202="N")</f>
        <v>Ultrasound and Cavitation Phenomena</v>
      </c>
    </row>
    <row r="5" spans="1:12">
      <c r="A5" s="1" t="s">
        <v>8</v>
      </c>
      <c r="B5" s="1">
        <v>106</v>
      </c>
      <c r="C5" t="s">
        <v>74</v>
      </c>
      <c r="G5" s="2" t="str">
        <f>IF(ISNA(VLOOKUP(A5,allTerms!$A$2:$A$201, 1, FALSE)), "Missing", "Found")</f>
        <v>Found</v>
      </c>
      <c r="L5" t="str">
        <v>Ultrasound and Hyperthermia Applications</v>
      </c>
    </row>
    <row r="6" spans="1:12">
      <c r="A6" s="1" t="s">
        <v>9</v>
      </c>
      <c r="B6" s="1">
        <v>104</v>
      </c>
      <c r="C6" t="s">
        <v>74</v>
      </c>
      <c r="G6" s="2" t="str">
        <f>IF(ISNA(VLOOKUP(A6,allTerms!$A$2:$A$201, 1, FALSE)), "Missing", "Found")</f>
        <v>Found</v>
      </c>
      <c r="L6" t="str">
        <v>Carbon Nanotubes in Composites</v>
      </c>
    </row>
    <row r="7" spans="1:12">
      <c r="A7" s="1" t="s">
        <v>12</v>
      </c>
      <c r="B7" s="1">
        <v>96</v>
      </c>
      <c r="C7" t="s">
        <v>74</v>
      </c>
      <c r="G7" s="2" t="str">
        <f>IF(ISNA(VLOOKUP(A7,allTerms!$A$2:$A$201, 1, FALSE)), "Missing", "Found")</f>
        <v>Found</v>
      </c>
      <c r="L7" t="str">
        <v>Analytical chemistry methods development</v>
      </c>
    </row>
    <row r="8" spans="1:12">
      <c r="A8" s="1" t="s">
        <v>14</v>
      </c>
      <c r="B8" s="1">
        <v>69</v>
      </c>
      <c r="C8" t="s">
        <v>74</v>
      </c>
      <c r="G8" s="2" t="str">
        <f>IF(ISNA(VLOOKUP(A8,allTerms!$A$2:$A$201, 1, FALSE)), "Missing", "Found")</f>
        <v>Found</v>
      </c>
      <c r="L8" t="str">
        <v>Anaerobic Digestion and Biogas Production</v>
      </c>
    </row>
    <row r="9" spans="1:12">
      <c r="A9" s="1" t="s">
        <v>10</v>
      </c>
      <c r="B9" s="1">
        <v>68</v>
      </c>
      <c r="C9" t="s">
        <v>74</v>
      </c>
      <c r="G9" s="2" t="str">
        <f>IF(ISNA(VLOOKUP(A9,allTerms!$A$2:$A$201, 1, FALSE)), "Missing", "Found")</f>
        <v>Found</v>
      </c>
      <c r="L9" t="str">
        <v>Advanced Polymer Synthesis and Characterization</v>
      </c>
    </row>
    <row r="10" spans="1:12">
      <c r="A10" s="1" t="s">
        <v>16</v>
      </c>
      <c r="B10" s="1">
        <v>62</v>
      </c>
      <c r="C10" t="s">
        <v>74</v>
      </c>
      <c r="D10" t="s">
        <v>212</v>
      </c>
      <c r="G10" s="2" t="str">
        <f>IF(ISNA(VLOOKUP(A10,allTerms!$A$2:$A$201, 1, FALSE)), "Missing", "Found")</f>
        <v>Found</v>
      </c>
      <c r="L10" t="str">
        <v>Advanced Cellulose Research Studies</v>
      </c>
    </row>
    <row r="11" spans="1:12">
      <c r="A11" s="1" t="s">
        <v>18</v>
      </c>
      <c r="B11" s="1">
        <v>53</v>
      </c>
      <c r="C11" t="s">
        <v>213</v>
      </c>
      <c r="G11" s="2" t="str">
        <f>IF(ISNA(VLOOKUP(A11,allTerms!$A$2:$A$201, 1, FALSE)), "Missing", "Found")</f>
        <v>Found</v>
      </c>
      <c r="L11" t="str">
        <v>Biodiesel Production and Applications</v>
      </c>
    </row>
    <row r="12" spans="1:12">
      <c r="A12" s="1" t="s">
        <v>13</v>
      </c>
      <c r="B12" s="1">
        <v>50</v>
      </c>
      <c r="C12" t="s">
        <v>74</v>
      </c>
      <c r="D12" t="s">
        <v>214</v>
      </c>
      <c r="G12" s="2" t="str">
        <f>IF(ISNA(VLOOKUP(A12,allTerms!$A$2:$A$201, 1, FALSE)), "Missing", "Found")</f>
        <v>Found</v>
      </c>
      <c r="L12" t="str">
        <v>biodegradable polymer synthesis and properties</v>
      </c>
    </row>
    <row r="13" spans="1:12">
      <c r="A13" s="1" t="s">
        <v>15</v>
      </c>
      <c r="B13" s="1">
        <v>49</v>
      </c>
      <c r="C13" t="s">
        <v>74</v>
      </c>
      <c r="G13" s="2" t="str">
        <f>IF(ISNA(VLOOKUP(A13,allTerms!$A$2:$A$201, 1, FALSE)), "Missing", "Found")</f>
        <v>Found</v>
      </c>
      <c r="L13" t="str">
        <v>Soil and Unsaturated Flow</v>
      </c>
    </row>
    <row r="14" spans="1:12">
      <c r="A14" s="1" t="s">
        <v>17</v>
      </c>
      <c r="B14" s="1">
        <v>49</v>
      </c>
      <c r="C14" t="s">
        <v>74</v>
      </c>
      <c r="G14" s="2" t="str">
        <f>IF(ISNA(VLOOKUP(A14,allTerms!$A$2:$A$201, 1, FALSE)), "Missing", "Found")</f>
        <v>Found</v>
      </c>
      <c r="L14" t="str">
        <v>Orthopedic Infections and Treatments</v>
      </c>
    </row>
    <row r="15" spans="1:12">
      <c r="A15" s="1" t="s">
        <v>7</v>
      </c>
      <c r="B15" s="1">
        <v>37</v>
      </c>
      <c r="C15" t="s">
        <v>74</v>
      </c>
      <c r="G15" s="2" t="str">
        <f>IF(ISNA(VLOOKUP(A15,allTerms!$A$2:$A$201, 1, FALSE)), "Missing", "Found")</f>
        <v>Found</v>
      </c>
      <c r="L15" t="str">
        <v>Nanofluid Flow and Heat Transfer</v>
      </c>
    </row>
    <row r="16" spans="1:12">
      <c r="A16" s="1" t="s">
        <v>20</v>
      </c>
      <c r="B16" s="1">
        <v>36</v>
      </c>
      <c r="C16" t="s">
        <v>74</v>
      </c>
      <c r="D16" t="s">
        <v>215</v>
      </c>
      <c r="G16" s="2" t="str">
        <f>IF(ISNA(VLOOKUP(A16,allTerms!$A$2:$A$201, 1, FALSE)), "Missing", "Found")</f>
        <v>Found</v>
      </c>
      <c r="L16" t="str">
        <v>Photosynthetic Processes and Mechanisms</v>
      </c>
    </row>
    <row r="17" spans="1:12">
      <c r="A17" s="1" t="s">
        <v>23</v>
      </c>
      <c r="B17" s="1">
        <v>31</v>
      </c>
      <c r="C17" t="s">
        <v>213</v>
      </c>
      <c r="G17" s="2" t="str">
        <f>IF(ISNA(VLOOKUP(A17,allTerms!$A$2:$A$201, 1, FALSE)), "Missing", "Found")</f>
        <v>Found</v>
      </c>
      <c r="L17" t="str">
        <v>Algal biology and biofuel production</v>
      </c>
    </row>
    <row r="18" spans="1:12">
      <c r="A18" s="1" t="s">
        <v>27</v>
      </c>
      <c r="B18" s="1">
        <v>29</v>
      </c>
      <c r="C18" t="s">
        <v>122</v>
      </c>
      <c r="G18" s="2" t="str">
        <f>IF(ISNA(VLOOKUP(A18,allTerms!$A$2:$A$201, 1, FALSE)), "Missing", "Found")</f>
        <v>Found</v>
      </c>
      <c r="L18" t="str">
        <v>Soil Carbon and Nitrogen Dynamics</v>
      </c>
    </row>
    <row r="19" spans="1:12">
      <c r="A19" s="1" t="s">
        <v>22</v>
      </c>
      <c r="B19" s="1">
        <v>22</v>
      </c>
      <c r="C19" t="s">
        <v>74</v>
      </c>
      <c r="G19" s="2" t="str">
        <f>IF(ISNA(VLOOKUP(A19,allTerms!$A$2:$A$201, 1, FALSE)), "Missing", "Found")</f>
        <v>Found</v>
      </c>
      <c r="L19" t="str">
        <v>Membrane Separation Technologies</v>
      </c>
    </row>
    <row r="20" spans="1:12">
      <c r="A20" s="1" t="s">
        <v>21</v>
      </c>
      <c r="B20" s="1">
        <v>21</v>
      </c>
      <c r="C20" t="s">
        <v>74</v>
      </c>
      <c r="G20" s="2" t="str">
        <f>IF(ISNA(VLOOKUP(A20,allTerms!$A$2:$A$201, 1, FALSE)), "Missing", "Found")</f>
        <v>Found</v>
      </c>
      <c r="L20" t="str">
        <v>Essential Oils and Antimicrobial Activity</v>
      </c>
    </row>
    <row r="21" spans="1:12">
      <c r="A21" s="1" t="s">
        <v>36</v>
      </c>
      <c r="B21" s="1">
        <v>20</v>
      </c>
      <c r="C21" t="s">
        <v>122</v>
      </c>
      <c r="G21" s="2" t="str">
        <f>IF(ISNA(VLOOKUP(A21,allTerms!$A$2:$A$201, 1, FALSE)), "Missing", "Found")</f>
        <v>Found</v>
      </c>
      <c r="L21" t="str">
        <v>Polymer Nanocomposites and Properties</v>
      </c>
    </row>
    <row r="22" spans="1:12">
      <c r="A22" s="1" t="s">
        <v>26</v>
      </c>
      <c r="B22" s="1">
        <v>20</v>
      </c>
      <c r="C22" t="s">
        <v>74</v>
      </c>
      <c r="D22" t="s">
        <v>216</v>
      </c>
      <c r="G22" s="2" t="str">
        <f>IF(ISNA(VLOOKUP(A22,allTerms!$A$2:$A$201, 1, FALSE)), "Missing", "Found")</f>
        <v>Found</v>
      </c>
      <c r="L22" t="str">
        <v>Ultrasonics and Acoustic Wave Propagation</v>
      </c>
    </row>
    <row r="23" spans="1:12">
      <c r="A23" s="1" t="s">
        <v>29</v>
      </c>
      <c r="B23" s="1">
        <v>20</v>
      </c>
      <c r="C23" t="s">
        <v>74</v>
      </c>
      <c r="G23" s="2" t="str">
        <f>IF(ISNA(VLOOKUP(A23,allTerms!$A$2:$A$201, 1, FALSE)), "Missing", "Found")</f>
        <v>Found</v>
      </c>
      <c r="L23" t="str">
        <v>Phytochemicals and Antioxidant Activities</v>
      </c>
    </row>
    <row r="24" spans="1:12">
      <c r="A24" s="1" t="s">
        <v>32</v>
      </c>
      <c r="B24" s="1">
        <v>19</v>
      </c>
      <c r="C24" t="s">
        <v>74</v>
      </c>
      <c r="G24" s="2" t="str">
        <f>IF(ISNA(VLOOKUP(A24,allTerms!$A$2:$A$201, 1, FALSE)), "Missing", "Found")</f>
        <v>Found</v>
      </c>
      <c r="L24" t="str">
        <v>Advanced Photocatalysis Techniques</v>
      </c>
    </row>
    <row r="25" spans="1:12">
      <c r="A25" s="1" t="s">
        <v>25</v>
      </c>
      <c r="B25" s="1">
        <v>19</v>
      </c>
      <c r="C25" t="s">
        <v>74</v>
      </c>
      <c r="G25" s="2" t="str">
        <f>IF(ISNA(VLOOKUP(A25,allTerms!$A$2:$A$201, 1, FALSE)), "Missing", "Found")</f>
        <v>Found</v>
      </c>
      <c r="L25" t="str">
        <v>Supercapacitor Materials and Fabrication</v>
      </c>
    </row>
    <row r="26" spans="1:12">
      <c r="A26" s="1" t="s">
        <v>28</v>
      </c>
      <c r="B26" s="1">
        <v>19</v>
      </c>
      <c r="C26" t="s">
        <v>74</v>
      </c>
      <c r="D26" t="s">
        <v>217</v>
      </c>
      <c r="G26" s="2" t="str">
        <f>IF(ISNA(VLOOKUP(A26,allTerms!$A$2:$A$201, 1, FALSE)), "Missing", "Found")</f>
        <v>Found</v>
      </c>
      <c r="L26" t="str">
        <v>Oral microbiology and periodontitis research</v>
      </c>
    </row>
    <row r="27" spans="1:12">
      <c r="A27" s="1" t="s">
        <v>39</v>
      </c>
      <c r="B27" s="1">
        <v>18</v>
      </c>
      <c r="C27" t="s">
        <v>74</v>
      </c>
      <c r="D27" t="s">
        <v>218</v>
      </c>
      <c r="G27" s="2" t="str">
        <f>IF(ISNA(VLOOKUP(A27,allTerms!$A$2:$A$201, 1, FALSE)), "Missing", "Found")</f>
        <v>Found</v>
      </c>
      <c r="L27" t="str">
        <v>Lipid Membrane Structure and Behavior</v>
      </c>
    </row>
    <row r="28" spans="1:12">
      <c r="A28" s="1" t="s">
        <v>42</v>
      </c>
      <c r="B28" s="1">
        <v>18</v>
      </c>
      <c r="C28" t="s">
        <v>74</v>
      </c>
      <c r="D28" s="2" t="s">
        <v>219</v>
      </c>
      <c r="G28" s="2" t="str">
        <f>IF(ISNA(VLOOKUP(A28,allTerms!$A$2:$A$201, 1, FALSE)), "Missing", "Found")</f>
        <v>Found</v>
      </c>
      <c r="L28" t="str">
        <v>Natural Fiber Reinforced Composites</v>
      </c>
    </row>
    <row r="29" spans="1:12">
      <c r="A29" s="1" t="s">
        <v>38</v>
      </c>
      <c r="B29" s="1">
        <v>18</v>
      </c>
      <c r="C29" t="s">
        <v>74</v>
      </c>
      <c r="G29" s="2" t="str">
        <f>IF(ISNA(VLOOKUP(A29,allTerms!$A$2:$A$201, 1, FALSE)), "Missing", "Found")</f>
        <v>Found</v>
      </c>
      <c r="L29" t="str">
        <v>Cinema and Media Studies</v>
      </c>
    </row>
    <row r="30" spans="1:12">
      <c r="A30" s="1" t="s">
        <v>41</v>
      </c>
      <c r="B30" s="1">
        <v>18</v>
      </c>
      <c r="C30" t="s">
        <v>213</v>
      </c>
      <c r="G30" s="2" t="str">
        <f>IF(ISNA(VLOOKUP(A30,allTerms!$A$2:$A$201, 1, FALSE)), "Missing", "Found")</f>
        <v>Found</v>
      </c>
      <c r="L30" t="str">
        <v>Analytical Chemistry and Chromatography</v>
      </c>
    </row>
    <row r="31" spans="1:12">
      <c r="A31" s="1" t="s">
        <v>6</v>
      </c>
      <c r="B31" s="1">
        <v>16</v>
      </c>
      <c r="C31" t="s">
        <v>74</v>
      </c>
      <c r="D31" s="3" t="s">
        <v>220</v>
      </c>
      <c r="G31" s="2" t="str">
        <f>IF(ISNA(VLOOKUP(A31,allTerms!$A$2:$A$201, 1, FALSE)), "Missing", "Found")</f>
        <v>Found</v>
      </c>
      <c r="L31" t="str">
        <v>Phase Change Materials Research</v>
      </c>
    </row>
    <row r="32" spans="1:12">
      <c r="A32" s="1" t="s">
        <v>24</v>
      </c>
      <c r="B32" s="1">
        <v>16</v>
      </c>
      <c r="C32" t="s">
        <v>74</v>
      </c>
      <c r="G32" s="2" t="str">
        <f>IF(ISNA(VLOOKUP(A32,allTerms!$A$2:$A$201, 1, FALSE)), "Missing", "Found")</f>
        <v>Found</v>
      </c>
      <c r="L32" t="str">
        <v>Clay minerals and soil interactions</v>
      </c>
    </row>
    <row r="33" spans="1:12">
      <c r="A33" s="1" t="s">
        <v>47</v>
      </c>
      <c r="B33" s="1">
        <v>14</v>
      </c>
      <c r="C33" t="s">
        <v>74</v>
      </c>
      <c r="G33" s="2" t="str">
        <f>IF(ISNA(VLOOKUP(A33,allTerms!$A$2:$A$201, 1, FALSE)), "Missing", "Found")</f>
        <v>Found</v>
      </c>
      <c r="L33" t="str">
        <v>Food Quality and Safety Studies</v>
      </c>
    </row>
    <row r="34" spans="1:12">
      <c r="A34" s="1" t="s">
        <v>48</v>
      </c>
      <c r="B34" s="1">
        <v>14</v>
      </c>
      <c r="C34" t="s">
        <v>213</v>
      </c>
      <c r="G34" s="2" t="str">
        <f>IF(ISNA(VLOOKUP(A34,allTerms!$A$2:$A$201, 1, FALSE)), "Missing", "Found")</f>
        <v>Found</v>
      </c>
      <c r="L34" t="str">
        <v>Electrohydrodynamics and Fluid Dynamics</v>
      </c>
    </row>
    <row r="35" spans="1:12">
      <c r="A35" s="1" t="s">
        <v>50</v>
      </c>
      <c r="B35" s="1">
        <v>14</v>
      </c>
      <c r="C35" t="s">
        <v>213</v>
      </c>
      <c r="G35" s="2" t="str">
        <f>IF(ISNA(VLOOKUP(A35,allTerms!$A$2:$A$201, 1, FALSE)), "Missing", "Found")</f>
        <v>Found</v>
      </c>
      <c r="L35" t="str">
        <v>Material Properties and Applications</v>
      </c>
    </row>
    <row r="36" spans="1:12">
      <c r="A36" s="1" t="s">
        <v>52</v>
      </c>
      <c r="B36" s="1">
        <v>14</v>
      </c>
      <c r="C36" t="s">
        <v>213</v>
      </c>
      <c r="G36" s="2" t="str">
        <f>IF(ISNA(VLOOKUP(A36,allTerms!$A$2:$A$201, 1, FALSE)), "Missing", "Found")</f>
        <v>Found</v>
      </c>
      <c r="L36" t="str">
        <v>Natural Products and Applications</v>
      </c>
    </row>
    <row r="37" spans="1:12">
      <c r="A37" s="1" t="s">
        <v>53</v>
      </c>
      <c r="B37" s="1">
        <v>13</v>
      </c>
      <c r="C37" t="s">
        <v>122</v>
      </c>
      <c r="G37" s="2" t="str">
        <f>IF(ISNA(VLOOKUP(A37,allTerms!$A$2:$A$201, 1, FALSE)), "Missing", "Found")</f>
        <v>Found</v>
      </c>
      <c r="L37" t="str">
        <v>Advancements in Battery Materials</v>
      </c>
    </row>
    <row r="38" spans="1:12">
      <c r="A38" s="1" t="s">
        <v>30</v>
      </c>
      <c r="B38" s="1">
        <v>13</v>
      </c>
      <c r="C38" t="s">
        <v>213</v>
      </c>
      <c r="G38" s="2" t="str">
        <f>IF(ISNA(VLOOKUP(A38,allTerms!$A$2:$A$201, 1, FALSE)), "Missing", "Found")</f>
        <v>Found</v>
      </c>
      <c r="L38" t="str">
        <v>Neuroscience and Neuropharmacology Research</v>
      </c>
    </row>
    <row r="39" spans="1:12">
      <c r="A39" s="1" t="s">
        <v>40</v>
      </c>
      <c r="B39" s="1">
        <v>13</v>
      </c>
      <c r="C39" t="s">
        <v>213</v>
      </c>
      <c r="G39" s="2" t="str">
        <f>IF(ISNA(VLOOKUP(A39,allTerms!$A$2:$A$201, 1, FALSE)), "Missing", "Found")</f>
        <v>Found</v>
      </c>
      <c r="L39" t="str">
        <v>Nanoparticles: synthesis and applications</v>
      </c>
    </row>
    <row r="40" spans="1:12">
      <c r="A40" s="1" t="s">
        <v>65</v>
      </c>
      <c r="B40" s="1">
        <v>12</v>
      </c>
      <c r="C40" t="s">
        <v>122</v>
      </c>
      <c r="G40" s="2" t="str">
        <f>IF(ISNA(VLOOKUP(A40,allTerms!$A$2:$A$201, 1, FALSE)), "Missing", "Found")</f>
        <v>Found</v>
      </c>
      <c r="L40" t="str">
        <v>Graphene research and applications</v>
      </c>
    </row>
    <row r="41" spans="1:12">
      <c r="A41" s="1" t="s">
        <v>55</v>
      </c>
      <c r="B41" s="1">
        <v>12</v>
      </c>
      <c r="C41" t="s">
        <v>74</v>
      </c>
      <c r="G41" s="2" t="str">
        <f>IF(ISNA(VLOOKUP(A41,allTerms!$A$2:$A$201, 1, FALSE)), "Missing", "Found")</f>
        <v>Found</v>
      </c>
      <c r="L41" t="str">
        <v>Sperm and Testicular Function</v>
      </c>
    </row>
    <row r="42" spans="1:12">
      <c r="A42" s="1" t="s">
        <v>46</v>
      </c>
      <c r="B42" s="1">
        <v>12</v>
      </c>
      <c r="C42" t="s">
        <v>74</v>
      </c>
      <c r="D42" s="2" t="s">
        <v>221</v>
      </c>
      <c r="G42" s="2" t="str">
        <f>IF(ISNA(VLOOKUP(A42,allTerms!$A$2:$A$201, 1, FALSE)), "Missing", "Found")</f>
        <v>Found</v>
      </c>
      <c r="L42" t="str">
        <v>Gold and Silver Nanoparticles Synthesis and Applications</v>
      </c>
    </row>
    <row r="43" spans="1:12">
      <c r="A43" s="1" t="s">
        <v>66</v>
      </c>
      <c r="B43" s="1">
        <v>11</v>
      </c>
      <c r="C43" t="s">
        <v>74</v>
      </c>
      <c r="G43" s="2" t="str">
        <f>IF(ISNA(VLOOKUP(A43,allTerms!$A$2:$A$201, 1, FALSE)), "Missing", "Found")</f>
        <v>Found</v>
      </c>
      <c r="L43" t="str">
        <v>Aquatic Ecosystems and Phytoplankton Dynamics</v>
      </c>
    </row>
    <row r="44" spans="1:12">
      <c r="A44" s="1" t="s">
        <v>67</v>
      </c>
      <c r="B44" s="1">
        <v>11</v>
      </c>
      <c r="C44" t="s">
        <v>122</v>
      </c>
      <c r="G44" s="2" t="str">
        <f>IF(ISNA(VLOOKUP(A44,allTerms!$A$2:$A$201, 1, FALSE)), "Missing", "Found")</f>
        <v>Found</v>
      </c>
      <c r="L44" t="str">
        <v>Mycotoxins in Agriculture and Food</v>
      </c>
    </row>
    <row r="45" spans="1:12">
      <c r="A45" s="1" t="s">
        <v>54</v>
      </c>
      <c r="B45" s="1">
        <v>11</v>
      </c>
      <c r="C45" t="s">
        <v>122</v>
      </c>
      <c r="G45" s="2" t="str">
        <f>IF(ISNA(VLOOKUP(A45,allTerms!$A$2:$A$201, 1, FALSE)), "Missing", "Found")</f>
        <v>Found</v>
      </c>
      <c r="L45" t="str">
        <v>Wastewater Treatment and Nitrogen Removal</v>
      </c>
    </row>
    <row r="46" spans="1:12">
      <c r="A46" s="1" t="s">
        <v>61</v>
      </c>
      <c r="B46" s="1">
        <v>11</v>
      </c>
      <c r="C46" t="s">
        <v>74</v>
      </c>
      <c r="G46" s="2" t="str">
        <f>IF(ISNA(VLOOKUP(A46,allTerms!$A$2:$A$201, 1, FALSE)), "Missing", "Found")</f>
        <v>Found</v>
      </c>
      <c r="L46" t="str">
        <v>Glycosylation and Glycoproteins Research</v>
      </c>
    </row>
    <row r="47" spans="1:12">
      <c r="A47" s="1" t="s">
        <v>37</v>
      </c>
      <c r="B47" s="1">
        <v>11</v>
      </c>
      <c r="C47" t="s">
        <v>74</v>
      </c>
      <c r="D47" s="2" t="s">
        <v>222</v>
      </c>
      <c r="G47" s="2" t="str">
        <f>IF(ISNA(VLOOKUP(A47,allTerms!$A$2:$A$201, 1, FALSE)), "Missing", "Found")</f>
        <v>Found</v>
      </c>
      <c r="L47" t="str">
        <v>Conducting polymers and applications</v>
      </c>
    </row>
    <row r="48" spans="1:12">
      <c r="A48" s="1" t="s">
        <v>34</v>
      </c>
      <c r="B48" s="1">
        <v>11</v>
      </c>
      <c r="C48" t="s">
        <v>74</v>
      </c>
      <c r="G48" s="2" t="str">
        <f>IF(ISNA(VLOOKUP(A48,allTerms!$A$2:$A$201, 1, FALSE)), "Missing", "Found")</f>
        <v>Found</v>
      </c>
      <c r="L48" t="str">
        <v>Advancements in Transdermal Drug Delivery</v>
      </c>
    </row>
    <row r="49" spans="1:12">
      <c r="A49" s="1" t="s">
        <v>83</v>
      </c>
      <c r="B49" s="1">
        <v>10</v>
      </c>
      <c r="C49" t="s">
        <v>122</v>
      </c>
      <c r="G49" s="2" t="str">
        <f>IF(ISNA(VLOOKUP(A49,allTerms!$A$2:$A$201, 1, FALSE)), "Missing", "Found")</f>
        <v>Found</v>
      </c>
      <c r="L49" t="str">
        <v>Acoustic Wave Phenomena Research</v>
      </c>
    </row>
    <row r="50" spans="1:12">
      <c r="A50" s="1" t="s">
        <v>45</v>
      </c>
      <c r="B50" s="1">
        <v>10</v>
      </c>
      <c r="C50" t="s">
        <v>74</v>
      </c>
      <c r="G50" s="2" t="str">
        <f>IF(ISNA(VLOOKUP(A50,allTerms!$A$2:$A$201, 1, FALSE)), "Missing", "Found")</f>
        <v>Found</v>
      </c>
      <c r="L50" t="str">
        <v>Soil and Water Nutrient Dynamics</v>
      </c>
    </row>
    <row r="51" spans="1:12">
      <c r="A51" s="1" t="s">
        <v>51</v>
      </c>
      <c r="B51" s="1">
        <v>10</v>
      </c>
      <c r="C51" t="s">
        <v>74</v>
      </c>
      <c r="G51" s="2" t="str">
        <f>IF(ISNA(VLOOKUP(A51,allTerms!$A$2:$A$201, 1, FALSE)), "Missing", "Found")</f>
        <v>Found</v>
      </c>
      <c r="L51" t="str">
        <v>Bee Products Chemical Analysis</v>
      </c>
    </row>
    <row r="52" spans="1:12">
      <c r="A52" s="1" t="s">
        <v>71</v>
      </c>
      <c r="B52" s="1">
        <v>10</v>
      </c>
      <c r="C52" t="s">
        <v>74</v>
      </c>
      <c r="G52" s="2" t="str">
        <f>IF(ISNA(VLOOKUP(A52,allTerms!$A$2:$A$201, 1, FALSE)), "Missing", "Found")</f>
        <v>Found</v>
      </c>
      <c r="L52" t="str">
        <v>Pickering emulsions and particle stabilization</v>
      </c>
    </row>
    <row r="53" spans="1:12">
      <c r="A53" s="1" t="s">
        <v>86</v>
      </c>
      <c r="B53" s="1">
        <v>10</v>
      </c>
      <c r="C53" t="s">
        <v>74</v>
      </c>
      <c r="G53" s="2" t="str">
        <f>IF(ISNA(VLOOKUP(A53,allTerms!$A$2:$A$201, 1, FALSE)), "Missing", "Found")</f>
        <v>Found</v>
      </c>
      <c r="L53" t="str">
        <v>Adsorption and biosorption for pollutant removal</v>
      </c>
    </row>
    <row r="54" spans="1:12">
      <c r="A54" s="1" t="s">
        <v>77</v>
      </c>
      <c r="B54" s="1">
        <v>10</v>
      </c>
      <c r="C54" t="s">
        <v>74</v>
      </c>
      <c r="G54" s="2" t="str">
        <f>IF(ISNA(VLOOKUP(A54,allTerms!$A$2:$A$201, 1, FALSE)), "Missing", "Found")</f>
        <v>Found</v>
      </c>
      <c r="L54" t="str">
        <v>Nanoparticle-Based Drug Delivery</v>
      </c>
    </row>
    <row r="55" spans="1:12">
      <c r="A55" s="1" t="s">
        <v>35</v>
      </c>
      <c r="B55" s="1">
        <v>10</v>
      </c>
      <c r="C55" t="s">
        <v>74</v>
      </c>
      <c r="D55" s="2" t="s">
        <v>223</v>
      </c>
      <c r="G55" s="2" t="str">
        <f>IF(ISNA(VLOOKUP(A55,allTerms!$A$2:$A$201, 1, FALSE)), "Missing", "Found")</f>
        <v>Found</v>
      </c>
      <c r="L55" t="str">
        <v>Luminescence Properties of Advanced Materials</v>
      </c>
    </row>
    <row r="56" spans="1:12">
      <c r="A56" s="1" t="s">
        <v>64</v>
      </c>
      <c r="B56" s="1">
        <v>10</v>
      </c>
      <c r="C56" t="s">
        <v>74</v>
      </c>
      <c r="G56" s="2" t="str">
        <f>IF(ISNA(VLOOKUP(A56,allTerms!$A$2:$A$201, 1, FALSE)), "Missing", "Found")</f>
        <v>Found</v>
      </c>
      <c r="L56" t="str">
        <v>Biofuel production and bioconversion</v>
      </c>
    </row>
    <row r="57" spans="1:12">
      <c r="A57" s="1" t="s">
        <v>68</v>
      </c>
      <c r="B57" s="1">
        <v>9</v>
      </c>
      <c r="C57" t="s">
        <v>74</v>
      </c>
      <c r="G57" s="2" t="str">
        <f>IF(ISNA(VLOOKUP(A57,allTerms!$A$2:$A$201, 1, FALSE)), "Missing", "Found")</f>
        <v>Found</v>
      </c>
      <c r="L57" t="str">
        <v>Drug Solubulity and Delivery Systems</v>
      </c>
    </row>
    <row r="58" spans="1:12">
      <c r="A58" s="1" t="s">
        <v>84</v>
      </c>
      <c r="B58" s="1">
        <v>9</v>
      </c>
      <c r="C58" t="s">
        <v>74</v>
      </c>
      <c r="G58" s="2" t="str">
        <f>IF(ISNA(VLOOKUP(A58,allTerms!$A$2:$A$201, 1, FALSE)), "Missing", "Found")</f>
        <v>Found</v>
      </c>
      <c r="L58" t="str">
        <v>Cell death mechanisms and regulation</v>
      </c>
    </row>
    <row r="59" spans="1:12">
      <c r="A59" s="1" t="s">
        <v>70</v>
      </c>
      <c r="B59" s="1">
        <v>9</v>
      </c>
      <c r="C59" t="s">
        <v>74</v>
      </c>
      <c r="G59" s="2" t="str">
        <f>IF(ISNA(VLOOKUP(A59,allTerms!$A$2:$A$201, 1, FALSE)), "Missing", "Found")</f>
        <v>Found</v>
      </c>
      <c r="L59" t="str">
        <v>Mitochondrial Function and Pathology</v>
      </c>
    </row>
    <row r="60" spans="1:12">
      <c r="A60" s="1" t="s">
        <v>49</v>
      </c>
      <c r="B60" s="1">
        <v>9</v>
      </c>
      <c r="C60" t="s">
        <v>74</v>
      </c>
      <c r="G60" s="2" t="str">
        <f>IF(ISNA(VLOOKUP(A60,allTerms!$A$2:$A$201, 1, FALSE)), "Missing", "Found")</f>
        <v>Found</v>
      </c>
      <c r="L60" t="str">
        <v>Immune Response and Inflammation</v>
      </c>
    </row>
    <row r="61" spans="1:12">
      <c r="A61" s="1" t="s">
        <v>81</v>
      </c>
      <c r="B61" s="1">
        <v>9</v>
      </c>
      <c r="C61" t="s">
        <v>74</v>
      </c>
      <c r="G61" s="2" t="str">
        <f>IF(ISNA(VLOOKUP(A61,allTerms!$A$2:$A$201, 1, FALSE)), "Missing", "Found")</f>
        <v>Found</v>
      </c>
      <c r="L61" t="str">
        <v>Postharvest Quality and Shelf Life Management</v>
      </c>
    </row>
    <row r="62" spans="1:12">
      <c r="A62" s="1" t="s">
        <v>56</v>
      </c>
      <c r="B62" s="1">
        <v>8</v>
      </c>
      <c r="C62" t="s">
        <v>74</v>
      </c>
      <c r="D62" s="2" t="s">
        <v>224</v>
      </c>
      <c r="G62" s="2" t="str">
        <f>IF(ISNA(VLOOKUP(A62,allTerms!$A$2:$A$201, 1, FALSE)), "Missing", "Found")</f>
        <v>Found</v>
      </c>
      <c r="L62" t="str">
        <v>Ion channel regulation and function</v>
      </c>
    </row>
    <row r="63" spans="1:12">
      <c r="A63" s="1" t="s">
        <v>99</v>
      </c>
      <c r="B63" s="1">
        <v>8</v>
      </c>
      <c r="C63" t="s">
        <v>122</v>
      </c>
      <c r="G63" s="2" t="str">
        <f>IF(ISNA(VLOOKUP(A63,allTerms!$A$2:$A$201, 1, FALSE)), "Missing", "Found")</f>
        <v>Found</v>
      </c>
      <c r="L63" t="str">
        <v>Advanced Proteomics Techniques and Applications</v>
      </c>
    </row>
    <row r="64" spans="1:12">
      <c r="A64" s="1" t="s">
        <v>115</v>
      </c>
      <c r="B64" s="1">
        <v>8</v>
      </c>
      <c r="C64" t="s">
        <v>122</v>
      </c>
      <c r="G64" s="2" t="str">
        <f>IF(ISNA(VLOOKUP(A64,allTerms!$A$2:$A$201, 1, FALSE)), "Missing", "Found")</f>
        <v>Found</v>
      </c>
      <c r="L64" t="str">
        <v>Bacterial biofilms and quorum sensing</v>
      </c>
    </row>
    <row r="65" spans="1:12">
      <c r="A65" s="1" t="s">
        <v>89</v>
      </c>
      <c r="B65" s="1">
        <v>8</v>
      </c>
      <c r="C65" t="s">
        <v>122</v>
      </c>
      <c r="G65" s="2" t="str">
        <f>IF(ISNA(VLOOKUP(A65,allTerms!$A$2:$A$201, 1, FALSE)), "Missing", "Found")</f>
        <v>Found</v>
      </c>
      <c r="L65" t="str">
        <v>Surfactants and Colloidal Systems</v>
      </c>
    </row>
    <row r="66" spans="1:12">
      <c r="A66" s="1" t="s">
        <v>104</v>
      </c>
      <c r="B66" s="1">
        <v>8</v>
      </c>
      <c r="C66" t="s">
        <v>122</v>
      </c>
      <c r="G66" s="2" t="str">
        <f>IF(ISNA(VLOOKUP(A66,allTerms!$A$2:$A$201, 1, FALSE)), "Missing", "Found")</f>
        <v>Found</v>
      </c>
      <c r="L66" t="str">
        <v>RNA Interference and Gene Delivery</v>
      </c>
    </row>
    <row r="67" spans="1:12">
      <c r="A67" s="4" t="s">
        <v>105</v>
      </c>
      <c r="B67" s="4">
        <v>8</v>
      </c>
      <c r="C67" s="4" t="s">
        <v>74</v>
      </c>
      <c r="D67" s="4"/>
      <c r="G67" s="2" t="str">
        <f>IF(ISNA(VLOOKUP(A67,allTerms!$A$2:$A$201, 1, FALSE)), "Missing", "Found")</f>
        <v>Found</v>
      </c>
      <c r="L67" t="str">
        <v>Platelet Disorders and Treatments</v>
      </c>
    </row>
    <row r="68" spans="1:12">
      <c r="A68" s="4" t="s">
        <v>33</v>
      </c>
      <c r="B68" s="4">
        <v>8</v>
      </c>
      <c r="C68" s="4" t="s">
        <v>74</v>
      </c>
      <c r="D68" s="4"/>
      <c r="G68" s="2" t="str">
        <f>IF(ISNA(VLOOKUP(A68,allTerms!$A$2:$A$201, 1, FALSE)), "Missing", "Found")</f>
        <v>Found</v>
      </c>
      <c r="L68" t="str">
        <v>Advanced Drug Delivery Systems</v>
      </c>
    </row>
    <row r="69" spans="1:12">
      <c r="A69" s="4" t="s">
        <v>78</v>
      </c>
      <c r="B69" s="4">
        <v>8</v>
      </c>
      <c r="C69" s="4" t="s">
        <v>74</v>
      </c>
      <c r="D69" s="4"/>
      <c r="G69" s="2" t="str">
        <f>IF(ISNA(VLOOKUP(A69,allTerms!$A$2:$A$201, 1, FALSE)), "Missing", "Found")</f>
        <v>Found</v>
      </c>
    </row>
    <row r="70" spans="1:12">
      <c r="A70" s="4" t="s">
        <v>79</v>
      </c>
      <c r="B70" s="4">
        <v>8</v>
      </c>
      <c r="C70" s="4" t="s">
        <v>74</v>
      </c>
      <c r="D70" s="4"/>
      <c r="G70" s="2" t="str">
        <f>IF(ISNA(VLOOKUP(A70,allTerms!$A$2:$A$201, 1, FALSE)), "Missing", "Found")</f>
        <v>Found</v>
      </c>
    </row>
    <row r="71" spans="1:12">
      <c r="A71" s="4" t="s">
        <v>107</v>
      </c>
      <c r="B71" s="4">
        <v>8</v>
      </c>
      <c r="C71" s="4" t="s">
        <v>74</v>
      </c>
      <c r="D71" s="4" t="s">
        <v>225</v>
      </c>
      <c r="G71" s="2" t="str">
        <f>IF(ISNA(VLOOKUP(A71,allTerms!$A$2:$A$201, 1, FALSE)), "Missing", "Found")</f>
        <v>Found</v>
      </c>
    </row>
    <row r="72" spans="1:12">
      <c r="A72" s="4" t="s">
        <v>109</v>
      </c>
      <c r="B72" s="4">
        <v>7</v>
      </c>
      <c r="C72" s="4" t="s">
        <v>122</v>
      </c>
      <c r="D72" s="4"/>
      <c r="G72" s="2" t="str">
        <f>IF(ISNA(VLOOKUP(A72,allTerms!$A$2:$A$201, 1, FALSE)), "Missing", "Found")</f>
        <v>Found</v>
      </c>
    </row>
    <row r="73" spans="1:12">
      <c r="A73" s="4" t="s">
        <v>82</v>
      </c>
      <c r="B73" s="4">
        <v>7</v>
      </c>
      <c r="C73" s="4" t="s">
        <v>122</v>
      </c>
      <c r="D73" s="4"/>
      <c r="G73" s="2" t="str">
        <f>IF(ISNA(VLOOKUP(A73,allTerms!$A$2:$A$201, 1, FALSE)), "Missing", "Found")</f>
        <v>Found</v>
      </c>
    </row>
    <row r="74" spans="1:12">
      <c r="A74" s="4" t="s">
        <v>69</v>
      </c>
      <c r="B74" s="4">
        <v>7</v>
      </c>
      <c r="C74" s="4" t="s">
        <v>122</v>
      </c>
      <c r="D74" s="4"/>
      <c r="G74" s="2" t="str">
        <f>IF(ISNA(VLOOKUP(A74,allTerms!$A$2:$A$201, 1, FALSE)), "Missing", "Found")</f>
        <v>Found</v>
      </c>
    </row>
    <row r="75" spans="1:12">
      <c r="A75" s="4" t="s">
        <v>60</v>
      </c>
      <c r="B75" s="4">
        <v>7</v>
      </c>
      <c r="C75" s="4" t="s">
        <v>74</v>
      </c>
      <c r="D75" s="4"/>
      <c r="G75" s="2" t="str">
        <f>IF(ISNA(VLOOKUP(A75,allTerms!$A$2:$A$201, 1, FALSE)), "Missing", "Found")</f>
        <v>Found</v>
      </c>
    </row>
    <row r="76" spans="1:12">
      <c r="A76" s="4" t="s">
        <v>119</v>
      </c>
      <c r="B76" s="4">
        <v>7</v>
      </c>
      <c r="C76" s="4" t="s">
        <v>74</v>
      </c>
      <c r="D76" s="4"/>
      <c r="G76" s="2" t="str">
        <f>IF(ISNA(VLOOKUP(A76,allTerms!$A$2:$A$201, 1, FALSE)), "Missing", "Found")</f>
        <v>Found</v>
      </c>
    </row>
    <row r="77" spans="1:12">
      <c r="A77" s="4" t="s">
        <v>102</v>
      </c>
      <c r="B77" s="4">
        <v>7</v>
      </c>
      <c r="C77" s="4" t="s">
        <v>74</v>
      </c>
      <c r="D77" s="4" t="s">
        <v>226</v>
      </c>
      <c r="G77" s="2" t="str">
        <f>IF(ISNA(VLOOKUP(A77,allTerms!$A$2:$A$201, 1, FALSE)), "Missing", "Found")</f>
        <v>Found</v>
      </c>
    </row>
    <row r="78" spans="1:12">
      <c r="A78" s="4" t="s">
        <v>62</v>
      </c>
      <c r="B78" s="4">
        <v>7</v>
      </c>
      <c r="C78" s="4" t="s">
        <v>74</v>
      </c>
      <c r="D78" s="4"/>
      <c r="G78" s="2" t="str">
        <f>IF(ISNA(VLOOKUP(A78,allTerms!$A$2:$A$201, 1, FALSE)), "Missing", "Found")</f>
        <v>Found</v>
      </c>
    </row>
    <row r="79" spans="1:12">
      <c r="A79" s="4" t="s">
        <v>80</v>
      </c>
      <c r="B79" s="4">
        <v>7</v>
      </c>
      <c r="C79" s="4" t="s">
        <v>74</v>
      </c>
      <c r="D79" s="4"/>
      <c r="G79" s="2" t="str">
        <f>IF(ISNA(VLOOKUP(A79,allTerms!$A$2:$A$201, 1, FALSE)), "Missing", "Found")</f>
        <v>Found</v>
      </c>
    </row>
    <row r="80" spans="1:12">
      <c r="A80" s="4" t="s">
        <v>95</v>
      </c>
      <c r="B80" s="4">
        <v>7</v>
      </c>
      <c r="C80" s="4" t="s">
        <v>74</v>
      </c>
      <c r="D80" s="4"/>
      <c r="G80" s="2" t="str">
        <f>IF(ISNA(VLOOKUP(A80,allTerms!$A$2:$A$201, 1, FALSE)), "Missing", "Found")</f>
        <v>Found</v>
      </c>
    </row>
    <row r="81" spans="1:7">
      <c r="A81" s="4" t="s">
        <v>87</v>
      </c>
      <c r="B81" s="4">
        <v>7</v>
      </c>
      <c r="C81" s="4" t="s">
        <v>74</v>
      </c>
      <c r="D81" s="4"/>
      <c r="G81" s="2" t="str">
        <f>IF(ISNA(VLOOKUP(A81,allTerms!$A$2:$A$201, 1, FALSE)), "Missing", "Found")</f>
        <v>Found</v>
      </c>
    </row>
    <row r="82" spans="1:7">
      <c r="A82" s="4" t="s">
        <v>134</v>
      </c>
      <c r="B82" s="4">
        <v>7</v>
      </c>
      <c r="C82" s="4" t="s">
        <v>74</v>
      </c>
      <c r="D82" s="4" t="s">
        <v>227</v>
      </c>
      <c r="G82" s="2" t="str">
        <f>IF(ISNA(VLOOKUP(A82,allTerms!$A$2:$A$201, 1, FALSE)), "Missing", "Found")</f>
        <v>Found</v>
      </c>
    </row>
    <row r="83" spans="1:7">
      <c r="A83" s="4" t="s">
        <v>31</v>
      </c>
      <c r="B83" s="4">
        <v>7</v>
      </c>
      <c r="C83" s="4" t="s">
        <v>74</v>
      </c>
      <c r="D83" s="4" t="s">
        <v>228</v>
      </c>
      <c r="G83" s="2" t="str">
        <f>IF(ISNA(VLOOKUP(A83,allTerms!$A$2:$A$201, 1, FALSE)), "Missing", "Found")</f>
        <v>Found</v>
      </c>
    </row>
    <row r="84" spans="1:7">
      <c r="A84" s="4" t="s">
        <v>43</v>
      </c>
      <c r="B84" s="4">
        <v>7</v>
      </c>
      <c r="C84" s="4" t="s">
        <v>74</v>
      </c>
      <c r="D84" s="4"/>
      <c r="G84" s="2" t="str">
        <f>IF(ISNA(VLOOKUP(A84,allTerms!$A$2:$A$201, 1, FALSE)), "Missing", "Found")</f>
        <v>Found</v>
      </c>
    </row>
    <row r="85" spans="1:7">
      <c r="A85" s="4" t="s">
        <v>135</v>
      </c>
      <c r="B85" s="4">
        <v>7</v>
      </c>
      <c r="C85" s="4" t="s">
        <v>74</v>
      </c>
      <c r="D85" s="4"/>
      <c r="G85" s="2" t="str">
        <f>IF(ISNA(VLOOKUP(A85,allTerms!$A$2:$A$201, 1, FALSE)), "Missing", "Found")</f>
        <v>Found</v>
      </c>
    </row>
    <row r="86" spans="1:7">
      <c r="A86" s="4" t="s">
        <v>108</v>
      </c>
      <c r="B86" s="4">
        <v>6</v>
      </c>
      <c r="C86" s="4" t="s">
        <v>122</v>
      </c>
      <c r="D86" s="4"/>
      <c r="G86" s="2" t="str">
        <f>IF(ISNA(VLOOKUP(A86,allTerms!$A$2:$A$201, 1, FALSE)), "Missing", "Found")</f>
        <v>Found</v>
      </c>
    </row>
    <row r="87" spans="1:7">
      <c r="A87" s="4" t="s">
        <v>136</v>
      </c>
      <c r="B87" s="4">
        <v>6</v>
      </c>
      <c r="C87" s="4" t="s">
        <v>122</v>
      </c>
      <c r="D87" s="4"/>
      <c r="G87" s="2" t="str">
        <f>IF(ISNA(VLOOKUP(A87,allTerms!$A$2:$A$201, 1, FALSE)), "Missing", "Found")</f>
        <v>Found</v>
      </c>
    </row>
    <row r="88" spans="1:7">
      <c r="A88" s="4" t="s">
        <v>137</v>
      </c>
      <c r="B88" s="4">
        <v>6</v>
      </c>
      <c r="C88" s="4" t="s">
        <v>122</v>
      </c>
      <c r="D88" s="4"/>
      <c r="G88" s="2" t="str">
        <f>IF(ISNA(VLOOKUP(A88,allTerms!$A$2:$A$201, 1, FALSE)), "Missing", "Found")</f>
        <v>Found</v>
      </c>
    </row>
    <row r="89" spans="1:7">
      <c r="A89" s="4" t="s">
        <v>114</v>
      </c>
      <c r="B89" s="4">
        <v>6</v>
      </c>
      <c r="C89" s="4" t="s">
        <v>122</v>
      </c>
      <c r="D89" s="4"/>
      <c r="G89" s="2" t="str">
        <f>IF(ISNA(VLOOKUP(A89,allTerms!$A$2:$A$201, 1, FALSE)), "Missing", "Found")</f>
        <v>Found</v>
      </c>
    </row>
    <row r="90" spans="1:7">
      <c r="A90" s="4" t="s">
        <v>58</v>
      </c>
      <c r="B90" s="4">
        <v>6</v>
      </c>
      <c r="C90" s="4" t="s">
        <v>74</v>
      </c>
      <c r="D90" s="4"/>
      <c r="G90" s="2" t="str">
        <f>IF(ISNA(VLOOKUP(A90,allTerms!$A$2:$A$201, 1, FALSE)), "Missing", "Found")</f>
        <v>Found</v>
      </c>
    </row>
    <row r="91" spans="1:7">
      <c r="A91" s="4" t="s">
        <v>59</v>
      </c>
      <c r="B91" s="4">
        <v>6</v>
      </c>
      <c r="C91" s="4" t="s">
        <v>122</v>
      </c>
      <c r="D91" s="4"/>
      <c r="G91" s="2" t="str">
        <f>IF(ISNA(VLOOKUP(A91,allTerms!$A$2:$A$201, 1, FALSE)), "Missing", "Found")</f>
        <v>Found</v>
      </c>
    </row>
    <row r="92" spans="1:7">
      <c r="A92" s="4" t="s">
        <v>100</v>
      </c>
      <c r="B92" s="4">
        <v>6</v>
      </c>
      <c r="C92" s="4" t="s">
        <v>74</v>
      </c>
      <c r="D92" s="4"/>
      <c r="G92" s="2" t="str">
        <f>IF(ISNA(VLOOKUP(A92,allTerms!$A$2:$A$201, 1, FALSE)), "Missing", "Found")</f>
        <v>Found</v>
      </c>
    </row>
    <row r="93" spans="1:7">
      <c r="A93" s="4" t="s">
        <v>142</v>
      </c>
      <c r="B93" s="4">
        <v>6</v>
      </c>
      <c r="C93" s="4" t="s">
        <v>74</v>
      </c>
      <c r="D93" s="4"/>
      <c r="G93" s="2" t="str">
        <f>IF(ISNA(VLOOKUP(A93,allTerms!$A$2:$A$201, 1, FALSE)), "Missing", "Found")</f>
        <v>Found</v>
      </c>
    </row>
    <row r="94" spans="1:7">
      <c r="A94" s="4" t="s">
        <v>103</v>
      </c>
      <c r="B94" s="4">
        <v>6</v>
      </c>
      <c r="C94" s="4" t="s">
        <v>74</v>
      </c>
      <c r="D94" s="4"/>
      <c r="G94" s="2" t="str">
        <f>IF(ISNA(VLOOKUP(A94,allTerms!$A$2:$A$201, 1, FALSE)), "Missing", "Found")</f>
        <v>Found</v>
      </c>
    </row>
    <row r="95" spans="1:7">
      <c r="A95" s="4" t="s">
        <v>144</v>
      </c>
      <c r="B95" s="4">
        <v>6</v>
      </c>
      <c r="C95" s="4" t="s">
        <v>74</v>
      </c>
      <c r="D95" s="4"/>
      <c r="G95" s="2" t="str">
        <f>IF(ISNA(VLOOKUP(A95,allTerms!$A$2:$A$201, 1, FALSE)), "Missing", "Found")</f>
        <v>Found</v>
      </c>
    </row>
    <row r="96" spans="1:7">
      <c r="A96" s="4" t="s">
        <v>145</v>
      </c>
      <c r="B96" s="4">
        <v>6</v>
      </c>
      <c r="C96" s="4" t="s">
        <v>74</v>
      </c>
      <c r="D96" s="4"/>
      <c r="G96" s="2" t="str">
        <f>IF(ISNA(VLOOKUP(A96,allTerms!$A$2:$A$201, 1, FALSE)), "Missing", "Found")</f>
        <v>Found</v>
      </c>
    </row>
    <row r="97" spans="1:7">
      <c r="A97" s="4" t="s">
        <v>151</v>
      </c>
      <c r="B97" s="4">
        <v>6</v>
      </c>
      <c r="C97" s="4" t="s">
        <v>74</v>
      </c>
      <c r="D97" s="4"/>
      <c r="G97" s="2" t="str">
        <f>IF(ISNA(VLOOKUP(A97,allTerms!$A$2:$A$201, 1, FALSE)), "Missing", "Found")</f>
        <v>Found</v>
      </c>
    </row>
    <row r="98" spans="1:7">
      <c r="A98" s="4" t="s">
        <v>63</v>
      </c>
      <c r="B98" s="4">
        <v>6</v>
      </c>
      <c r="C98" s="4" t="s">
        <v>74</v>
      </c>
      <c r="D98" s="4"/>
      <c r="G98" s="2" t="str">
        <f>IF(ISNA(VLOOKUP(A98,allTerms!$A$2:$A$201, 1, FALSE)), "Missing", "Found")</f>
        <v>Found</v>
      </c>
    </row>
    <row r="99" spans="1:7">
      <c r="A99" s="4" t="s">
        <v>94</v>
      </c>
      <c r="B99" s="4">
        <v>6</v>
      </c>
      <c r="C99" s="4" t="s">
        <v>74</v>
      </c>
      <c r="D99" s="4"/>
      <c r="G99" s="2" t="str">
        <f>IF(ISNA(VLOOKUP(A99,allTerms!$A$2:$A$201, 1, FALSE)), "Missing", "Found")</f>
        <v>Found</v>
      </c>
    </row>
    <row r="100" spans="1:7">
      <c r="A100" s="4" t="s">
        <v>152</v>
      </c>
      <c r="B100" s="4">
        <v>6</v>
      </c>
      <c r="C100" s="4" t="s">
        <v>74</v>
      </c>
      <c r="D100" s="4" t="s">
        <v>229</v>
      </c>
      <c r="G100" s="2" t="str">
        <f>IF(ISNA(VLOOKUP(A100,allTerms!$A$2:$A$201, 1, FALSE)), "Missing", "Found")</f>
        <v>Found</v>
      </c>
    </row>
    <row r="101" spans="1:7">
      <c r="A101" s="4" t="s">
        <v>97</v>
      </c>
      <c r="B101" s="4">
        <v>6</v>
      </c>
      <c r="C101" s="4" t="s">
        <v>74</v>
      </c>
      <c r="D101" s="4"/>
      <c r="G101" s="2" t="str">
        <f>IF(ISNA(VLOOKUP(A101,allTerms!$A$2:$A$201, 1, FALSE)), "Missing", "Found")</f>
        <v>Found</v>
      </c>
    </row>
    <row r="102" spans="1:7">
      <c r="A102" s="4" t="s">
        <v>155</v>
      </c>
      <c r="B102" s="4">
        <v>5</v>
      </c>
      <c r="C102" s="4" t="s">
        <v>74</v>
      </c>
      <c r="D102" s="4" t="s">
        <v>230</v>
      </c>
      <c r="G102" s="2" t="str">
        <f>IF(ISNA(VLOOKUP(A102,allTerms!$A$2:$A$201, 1, FALSE)), "Missing", "Found")</f>
        <v>Found</v>
      </c>
    </row>
    <row r="103" spans="1:7">
      <c r="A103" s="4" t="s">
        <v>156</v>
      </c>
      <c r="B103" s="4">
        <v>5</v>
      </c>
      <c r="C103" s="4" t="s">
        <v>122</v>
      </c>
      <c r="D103" s="4"/>
      <c r="G103" s="2" t="str">
        <f>IF(ISNA(VLOOKUP(A103,allTerms!$A$2:$A$201, 1, FALSE)), "Missing", "Found")</f>
        <v>Found</v>
      </c>
    </row>
    <row r="104" spans="1:7">
      <c r="A104" s="4" t="s">
        <v>159</v>
      </c>
      <c r="B104" s="4">
        <v>5</v>
      </c>
      <c r="C104" s="4" t="s">
        <v>122</v>
      </c>
      <c r="D104" s="4"/>
      <c r="G104" s="2" t="str">
        <f>IF(ISNA(VLOOKUP(A104,allTerms!$A$2:$A$201, 1, FALSE)), "Missing", "Found")</f>
        <v>Found</v>
      </c>
    </row>
    <row r="105" spans="1:7">
      <c r="A105" s="4" t="s">
        <v>194</v>
      </c>
      <c r="B105" s="4">
        <v>5</v>
      </c>
      <c r="C105" s="4" t="s">
        <v>122</v>
      </c>
      <c r="D105" s="4"/>
      <c r="G105" s="2" t="str">
        <f>IF(ISNA(VLOOKUP(A105,allTerms!$A$2:$A$201, 1, FALSE)), "Missing", "Found")</f>
        <v>Found</v>
      </c>
    </row>
    <row r="106" spans="1:7">
      <c r="A106" s="4" t="s">
        <v>161</v>
      </c>
      <c r="B106" s="4">
        <v>5</v>
      </c>
      <c r="C106" s="4" t="s">
        <v>74</v>
      </c>
      <c r="D106" s="4"/>
      <c r="G106" s="2" t="str">
        <f>IF(ISNA(VLOOKUP(A106,allTerms!$A$2:$A$201, 1, FALSE)), "Missing", "Found")</f>
        <v>Found</v>
      </c>
    </row>
    <row r="107" spans="1:7">
      <c r="A107" s="4" t="s">
        <v>112</v>
      </c>
      <c r="B107" s="4">
        <v>5</v>
      </c>
      <c r="C107" s="4" t="s">
        <v>122</v>
      </c>
      <c r="D107" s="4"/>
      <c r="G107" s="2" t="str">
        <f>IF(ISNA(VLOOKUP(A107,allTerms!$A$2:$A$201, 1, FALSE)), "Missing", "Found")</f>
        <v>Found</v>
      </c>
    </row>
    <row r="108" spans="1:7">
      <c r="A108" s="4" t="s">
        <v>162</v>
      </c>
      <c r="B108" s="4">
        <v>5</v>
      </c>
      <c r="C108" s="4" t="s">
        <v>74</v>
      </c>
      <c r="D108" s="4"/>
      <c r="G108" s="2" t="str">
        <f>IF(ISNA(VLOOKUP(A108,allTerms!$A$2:$A$201, 1, FALSE)), "Missing", "Found")</f>
        <v>Found</v>
      </c>
    </row>
    <row r="109" spans="1:7">
      <c r="A109" s="4" t="s">
        <v>88</v>
      </c>
      <c r="B109" s="4">
        <v>5</v>
      </c>
      <c r="C109" s="4" t="s">
        <v>122</v>
      </c>
      <c r="D109" s="4"/>
      <c r="G109" s="2" t="str">
        <f>IF(ISNA(VLOOKUP(A109,allTerms!$A$2:$A$201, 1, FALSE)), "Missing", "Found")</f>
        <v>Found</v>
      </c>
    </row>
    <row r="110" spans="1:7">
      <c r="A110" s="4" t="s">
        <v>163</v>
      </c>
      <c r="B110" s="4">
        <v>5</v>
      </c>
      <c r="C110" s="4" t="s">
        <v>122</v>
      </c>
      <c r="D110" s="4"/>
      <c r="G110" s="2" t="str">
        <f>IF(ISNA(VLOOKUP(A110,allTerms!$A$2:$A$201, 1, FALSE)), "Missing", "Found")</f>
        <v>Found</v>
      </c>
    </row>
    <row r="111" spans="1:7">
      <c r="A111" s="4" t="s">
        <v>118</v>
      </c>
      <c r="B111" s="4">
        <v>5</v>
      </c>
      <c r="C111" s="4" t="s">
        <v>122</v>
      </c>
      <c r="D111" s="4"/>
      <c r="G111" s="2" t="str">
        <f>IF(ISNA(VLOOKUP(A111,allTerms!$A$2:$A$201, 1, FALSE)), "Missing", "Found")</f>
        <v>Found</v>
      </c>
    </row>
    <row r="112" spans="1:7">
      <c r="A112" s="4" t="s">
        <v>19</v>
      </c>
      <c r="B112" s="4">
        <v>5</v>
      </c>
      <c r="C112" s="4" t="s">
        <v>74</v>
      </c>
      <c r="D112" s="4"/>
      <c r="G112" s="2" t="str">
        <f>IF(ISNA(VLOOKUP(A112,allTerms!$A$2:$A$201, 1, FALSE)), "Missing", "Found")</f>
        <v>Found</v>
      </c>
    </row>
    <row r="113" spans="1:7">
      <c r="A113" s="4" t="s">
        <v>167</v>
      </c>
      <c r="B113" s="4">
        <v>5</v>
      </c>
      <c r="C113" s="4" t="s">
        <v>122</v>
      </c>
      <c r="D113" s="4"/>
      <c r="G113" s="2" t="str">
        <f>IF(ISNA(VLOOKUP(A113,allTerms!$A$2:$A$201, 1, FALSE)), "Missing", "Found")</f>
        <v>Found</v>
      </c>
    </row>
    <row r="114" spans="1:7">
      <c r="A114" s="4" t="s">
        <v>169</v>
      </c>
      <c r="B114" s="4">
        <v>5</v>
      </c>
      <c r="C114" s="4" t="s">
        <v>122</v>
      </c>
      <c r="D114" s="4"/>
      <c r="G114" s="2" t="str">
        <f>IF(ISNA(VLOOKUP(A114,allTerms!$A$2:$A$201, 1, FALSE)), "Missing", "Found")</f>
        <v>Found</v>
      </c>
    </row>
    <row r="115" spans="1:7">
      <c r="A115" s="4" t="s">
        <v>125</v>
      </c>
      <c r="B115" s="4">
        <v>5</v>
      </c>
      <c r="C115" s="4" t="s">
        <v>74</v>
      </c>
      <c r="D115" s="4"/>
      <c r="G115" s="2" t="str">
        <f>IF(ISNA(VLOOKUP(A115,allTerms!$A$2:$A$201, 1, FALSE)), "Missing", "Found")</f>
        <v>Found</v>
      </c>
    </row>
    <row r="116" spans="1:7">
      <c r="A116" s="4" t="s">
        <v>128</v>
      </c>
      <c r="B116" s="4">
        <v>5</v>
      </c>
      <c r="C116" s="4" t="s">
        <v>74</v>
      </c>
      <c r="D116" s="4" t="s">
        <v>231</v>
      </c>
      <c r="G116" s="2" t="str">
        <f>IF(ISNA(VLOOKUP(A116,allTerms!$A$2:$A$201, 1, FALSE)), "Missing", "Found")</f>
        <v>Found</v>
      </c>
    </row>
    <row r="117" spans="1:7">
      <c r="A117" s="4" t="s">
        <v>147</v>
      </c>
      <c r="B117" s="4">
        <v>5</v>
      </c>
      <c r="C117" s="4" t="s">
        <v>122</v>
      </c>
      <c r="D117" s="4"/>
      <c r="G117" s="2" t="str">
        <f>IF(ISNA(VLOOKUP(A117,allTerms!$A$2:$A$201, 1, FALSE)), "Missing", "Found")</f>
        <v>Found</v>
      </c>
    </row>
    <row r="118" spans="1:7">
      <c r="A118" s="4" t="s">
        <v>148</v>
      </c>
      <c r="B118" s="4">
        <v>5</v>
      </c>
      <c r="C118" s="4" t="s">
        <v>74</v>
      </c>
      <c r="D118" s="4"/>
      <c r="G118" s="2" t="str">
        <f>IF(ISNA(VLOOKUP(A118,allTerms!$A$2:$A$201, 1, FALSE)), "Missing", "Found")</f>
        <v>Found</v>
      </c>
    </row>
    <row r="119" spans="1:7">
      <c r="A119" s="4" t="s">
        <v>174</v>
      </c>
      <c r="B119" s="4">
        <v>5</v>
      </c>
      <c r="C119" s="4" t="s">
        <v>74</v>
      </c>
      <c r="D119" s="4" t="s">
        <v>232</v>
      </c>
      <c r="G119" s="2" t="str">
        <f>IF(ISNA(VLOOKUP(A119,allTerms!$A$2:$A$201, 1, FALSE)), "Missing", "Found")</f>
        <v>Found</v>
      </c>
    </row>
    <row r="120" spans="1:7">
      <c r="A120" s="4" t="s">
        <v>92</v>
      </c>
      <c r="B120" s="4">
        <v>5</v>
      </c>
      <c r="C120" s="4" t="s">
        <v>74</v>
      </c>
      <c r="D120" s="4" t="s">
        <v>233</v>
      </c>
      <c r="G120" s="2" t="str">
        <f>IF(ISNA(VLOOKUP(A120,allTerms!$A$2:$A$201, 1, FALSE)), "Missing", "Found")</f>
        <v>Found</v>
      </c>
    </row>
    <row r="121" spans="1:7">
      <c r="A121" s="4" t="s">
        <v>130</v>
      </c>
      <c r="B121" s="4">
        <v>5</v>
      </c>
      <c r="C121" s="4" t="s">
        <v>74</v>
      </c>
      <c r="D121" s="4"/>
      <c r="G121" s="2" t="str">
        <f>IF(ISNA(VLOOKUP(A121,allTerms!$A$2:$A$201, 1, FALSE)), "Missing", "Found")</f>
        <v>Found</v>
      </c>
    </row>
    <row r="122" spans="1:7">
      <c r="A122" s="4" t="s">
        <v>106</v>
      </c>
      <c r="B122" s="4">
        <v>5</v>
      </c>
      <c r="C122" s="4" t="s">
        <v>74</v>
      </c>
      <c r="D122" s="4"/>
      <c r="G122" s="2" t="str">
        <f>IF(ISNA(VLOOKUP(A122,allTerms!$A$2:$A$201, 1, FALSE)), "Missing", "Found")</f>
        <v>Found</v>
      </c>
    </row>
    <row r="123" spans="1:7">
      <c r="A123" s="4" t="s">
        <v>149</v>
      </c>
      <c r="B123" s="4">
        <v>5</v>
      </c>
      <c r="C123" s="4" t="s">
        <v>122</v>
      </c>
      <c r="D123" s="4"/>
      <c r="G123" s="2" t="str">
        <f>IF(ISNA(VLOOKUP(A123,allTerms!$A$2:$A$201, 1, FALSE)), "Missing", "Found")</f>
        <v>Found</v>
      </c>
    </row>
    <row r="124" spans="1:7">
      <c r="A124" s="4" t="s">
        <v>150</v>
      </c>
      <c r="B124" s="4">
        <v>5</v>
      </c>
      <c r="C124" s="4" t="s">
        <v>74</v>
      </c>
      <c r="D124" s="4"/>
      <c r="G124" s="2" t="str">
        <f>IF(ISNA(VLOOKUP(A124,allTerms!$A$2:$A$201, 1, FALSE)), "Missing", "Found")</f>
        <v>Found</v>
      </c>
    </row>
    <row r="125" spans="1:7">
      <c r="A125" s="4" t="s">
        <v>182</v>
      </c>
      <c r="B125" s="4">
        <v>5</v>
      </c>
      <c r="C125" s="4" t="s">
        <v>122</v>
      </c>
      <c r="D125" s="4"/>
      <c r="G125" s="2" t="str">
        <f>IF(ISNA(VLOOKUP(A125,allTerms!$A$2:$A$201, 1, FALSE)), "Missing", "Found")</f>
        <v>Found</v>
      </c>
    </row>
    <row r="126" spans="1:7">
      <c r="A126" s="4" t="s">
        <v>93</v>
      </c>
      <c r="B126" s="4">
        <v>5</v>
      </c>
      <c r="C126" s="4" t="s">
        <v>74</v>
      </c>
      <c r="D126" s="4"/>
      <c r="G126" s="2" t="str">
        <f>IF(ISNA(VLOOKUP(A126,allTerms!$A$2:$A$201, 1, FALSE)), "Missing", "Found")</f>
        <v>Found</v>
      </c>
    </row>
    <row r="127" spans="1:7">
      <c r="A127" s="4" t="s">
        <v>132</v>
      </c>
      <c r="B127" s="4">
        <v>5</v>
      </c>
      <c r="C127" s="4" t="s">
        <v>74</v>
      </c>
      <c r="D127" s="4"/>
      <c r="G127" s="2" t="str">
        <f>IF(ISNA(VLOOKUP(A127,allTerms!$A$2:$A$201, 1, FALSE)), "Missing", "Found")</f>
        <v>Found</v>
      </c>
    </row>
    <row r="128" spans="1:7">
      <c r="A128" s="4" t="s">
        <v>183</v>
      </c>
      <c r="B128" s="4">
        <v>5</v>
      </c>
      <c r="C128" s="4" t="s">
        <v>122</v>
      </c>
      <c r="D128" s="4"/>
      <c r="G128" s="2" t="str">
        <f>IF(ISNA(VLOOKUP(A128,allTerms!$A$2:$A$201, 1, FALSE)), "Missing", "Found")</f>
        <v>Found</v>
      </c>
    </row>
    <row r="129" spans="1:7">
      <c r="A129" s="4" t="s">
        <v>153</v>
      </c>
      <c r="B129" s="4">
        <v>5</v>
      </c>
      <c r="C129" s="4" t="s">
        <v>122</v>
      </c>
      <c r="D129" s="4"/>
      <c r="G129" s="2" t="str">
        <f>IF(ISNA(VLOOKUP(A129,allTerms!$A$2:$A$201, 1, FALSE)), "Missing", "Found")</f>
        <v>Found</v>
      </c>
    </row>
    <row r="130" spans="1:7">
      <c r="A130" s="4" t="s">
        <v>154</v>
      </c>
      <c r="B130" s="4">
        <v>5</v>
      </c>
      <c r="C130" s="4" t="s">
        <v>74</v>
      </c>
      <c r="D130" s="4"/>
      <c r="G130" s="2" t="str">
        <f>IF(ISNA(VLOOKUP(A130,allTerms!$A$2:$A$201, 1, FALSE)), "Missing", "Found")</f>
        <v>Found</v>
      </c>
    </row>
    <row r="131" spans="1:7">
      <c r="A131" s="4" t="s">
        <v>187</v>
      </c>
      <c r="B131" s="4">
        <v>4</v>
      </c>
      <c r="C131" s="4" t="s">
        <v>122</v>
      </c>
      <c r="D131" s="4"/>
      <c r="G131" s="2" t="str">
        <f>IF(ISNA(VLOOKUP(A131,allTerms!$A$2:$A$201, 1, FALSE)), "Missing", "Found")</f>
        <v>Found</v>
      </c>
    </row>
    <row r="132" spans="1:7">
      <c r="A132" s="4" t="s">
        <v>188</v>
      </c>
      <c r="B132" s="4">
        <v>4</v>
      </c>
      <c r="C132" s="4" t="s">
        <v>122</v>
      </c>
      <c r="D132" s="4"/>
      <c r="G132" s="2" t="str">
        <f>IF(ISNA(VLOOKUP(A132,allTerms!$A$2:$A$201, 1, FALSE)), "Missing", "Found")</f>
        <v>Found</v>
      </c>
    </row>
    <row r="133" spans="1:7">
      <c r="A133" s="4" t="s">
        <v>189</v>
      </c>
      <c r="B133" s="4">
        <v>4</v>
      </c>
      <c r="C133" s="4" t="s">
        <v>122</v>
      </c>
      <c r="D133" s="4"/>
      <c r="G133" s="2" t="str">
        <f>IF(ISNA(VLOOKUP(A133,allTerms!$A$2:$A$201, 1, FALSE)), "Missing", "Found")</f>
        <v>Found</v>
      </c>
    </row>
    <row r="134" spans="1:7">
      <c r="A134" s="4" t="s">
        <v>190</v>
      </c>
      <c r="B134" s="4">
        <v>4</v>
      </c>
      <c r="C134" s="4" t="s">
        <v>122</v>
      </c>
      <c r="D134" s="4"/>
      <c r="G134" s="2" t="str">
        <f>IF(ISNA(VLOOKUP(A134,allTerms!$A$2:$A$201, 1, FALSE)), "Missing", "Found")</f>
        <v>Found</v>
      </c>
    </row>
    <row r="135" spans="1:7">
      <c r="A135" s="4" t="s">
        <v>160</v>
      </c>
      <c r="B135" s="4">
        <v>4</v>
      </c>
      <c r="C135" s="4" t="s">
        <v>122</v>
      </c>
      <c r="D135" s="4"/>
      <c r="G135" s="2" t="str">
        <f>IF(ISNA(VLOOKUP(A135,allTerms!$A$2:$A$201, 1, FALSE)), "Missing", "Found")</f>
        <v>Found</v>
      </c>
    </row>
    <row r="136" spans="1:7">
      <c r="A136" s="4" t="s">
        <v>192</v>
      </c>
      <c r="B136" s="4">
        <v>4</v>
      </c>
      <c r="C136" s="4" t="s">
        <v>122</v>
      </c>
      <c r="D136" s="4"/>
      <c r="G136" s="2" t="str">
        <f>IF(ISNA(VLOOKUP(A136,allTerms!$A$2:$A$201, 1, FALSE)), "Missing", "Found")</f>
        <v>Found</v>
      </c>
    </row>
    <row r="137" spans="1:7">
      <c r="A137" s="4" t="s">
        <v>110</v>
      </c>
      <c r="B137" s="4">
        <v>4</v>
      </c>
      <c r="C137" s="4" t="s">
        <v>74</v>
      </c>
      <c r="D137" s="4" t="s">
        <v>234</v>
      </c>
      <c r="G137" s="2" t="str">
        <f>IF(ISNA(VLOOKUP(A137,allTerms!$A$2:$A$201, 1, FALSE)), "Missing", "Found")</f>
        <v>Found</v>
      </c>
    </row>
    <row r="138" spans="1:7">
      <c r="A138" s="4" t="s">
        <v>195</v>
      </c>
      <c r="B138" s="4">
        <v>4</v>
      </c>
      <c r="C138" s="4" t="s">
        <v>74</v>
      </c>
      <c r="D138" s="4"/>
      <c r="G138" s="2" t="str">
        <f>IF(ISNA(VLOOKUP(A138,allTerms!$A$2:$A$201, 1, FALSE)), "Missing", "Found")</f>
        <v>Found</v>
      </c>
    </row>
    <row r="139" spans="1:7">
      <c r="A139" s="4" t="s">
        <v>111</v>
      </c>
      <c r="B139" s="4">
        <v>4</v>
      </c>
      <c r="C139" s="4" t="s">
        <v>122</v>
      </c>
      <c r="D139" s="4"/>
      <c r="G139" s="2" t="str">
        <f>IF(ISNA(VLOOKUP(A139,allTerms!$A$2:$A$201, 1, FALSE)), "Missing", "Found")</f>
        <v>Found</v>
      </c>
    </row>
    <row r="140" spans="1:7">
      <c r="A140" s="4" t="s">
        <v>44</v>
      </c>
      <c r="B140" s="4">
        <v>4</v>
      </c>
      <c r="C140" s="4" t="s">
        <v>74</v>
      </c>
      <c r="D140" s="4" t="s">
        <v>235</v>
      </c>
      <c r="G140" s="2" t="str">
        <f>IF(ISNA(VLOOKUP(A140,allTerms!$A$2:$A$201, 1, FALSE)), "Missing", "Found")</f>
        <v>Found</v>
      </c>
    </row>
    <row r="141" spans="1:7">
      <c r="A141" s="4" t="s">
        <v>57</v>
      </c>
      <c r="B141" s="4">
        <v>4</v>
      </c>
      <c r="C141" s="4" t="s">
        <v>74</v>
      </c>
      <c r="D141" s="4"/>
      <c r="G141" s="2" t="str">
        <f>IF(ISNA(VLOOKUP(A141,allTerms!$A$2:$A$201, 1, FALSE)), "Missing", "Found")</f>
        <v>Found</v>
      </c>
    </row>
    <row r="142" spans="1:7">
      <c r="A142" s="4" t="s">
        <v>236</v>
      </c>
      <c r="B142" s="4">
        <v>4</v>
      </c>
      <c r="C142" s="4" t="s">
        <v>122</v>
      </c>
      <c r="D142" s="4"/>
      <c r="G142" s="2" t="str">
        <f>IF(ISNA(VLOOKUP(A142,allTerms!$A$2:$A$201, 1, FALSE)), "Missing", "Found")</f>
        <v>Missing</v>
      </c>
    </row>
    <row r="143" spans="1:7">
      <c r="A143" s="4" t="s">
        <v>199</v>
      </c>
      <c r="B143" s="4">
        <v>4</v>
      </c>
      <c r="C143" s="4" t="s">
        <v>122</v>
      </c>
      <c r="D143" s="4"/>
      <c r="G143" s="2" t="str">
        <f>IF(ISNA(VLOOKUP(A143,allTerms!$A$2:$A$201, 1, FALSE)), "Missing", "Found")</f>
        <v>Found</v>
      </c>
    </row>
    <row r="144" spans="1:7">
      <c r="A144" s="4" t="s">
        <v>165</v>
      </c>
      <c r="B144" s="4">
        <v>4</v>
      </c>
      <c r="C144" s="4" t="s">
        <v>122</v>
      </c>
      <c r="D144" s="4"/>
      <c r="G144" s="2" t="str">
        <f>IF(ISNA(VLOOKUP(A144,allTerms!$A$2:$A$201, 1, FALSE)), "Missing", "Found")</f>
        <v>Found</v>
      </c>
    </row>
    <row r="145" spans="1:7">
      <c r="A145" s="4" t="s">
        <v>200</v>
      </c>
      <c r="B145" s="4">
        <v>4</v>
      </c>
      <c r="C145" s="4" t="s">
        <v>122</v>
      </c>
      <c r="D145" s="4"/>
      <c r="G145" s="2" t="str">
        <f>IF(ISNA(VLOOKUP(A145,allTerms!$A$2:$A$201, 1, FALSE)), "Missing", "Found")</f>
        <v>Found</v>
      </c>
    </row>
    <row r="146" spans="1:7">
      <c r="A146" s="4" t="s">
        <v>166</v>
      </c>
      <c r="B146" s="4">
        <v>4</v>
      </c>
      <c r="C146" s="4" t="s">
        <v>74</v>
      </c>
      <c r="D146" s="4"/>
      <c r="G146" s="2" t="str">
        <f>IF(ISNA(VLOOKUP(A146,allTerms!$A$2:$A$201, 1, FALSE)), "Missing", "Found")</f>
        <v>Found</v>
      </c>
    </row>
    <row r="147" spans="1:7">
      <c r="A147" s="4" t="s">
        <v>201</v>
      </c>
      <c r="B147" s="4">
        <v>4</v>
      </c>
      <c r="C147" s="4" t="s">
        <v>122</v>
      </c>
      <c r="D147" s="4"/>
      <c r="G147" s="2" t="str">
        <f>IF(ISNA(VLOOKUP(A147,allTerms!$A$2:$A$201, 1, FALSE)), "Missing", "Found")</f>
        <v>Found</v>
      </c>
    </row>
    <row r="148" spans="1:7">
      <c r="A148" s="4" t="s">
        <v>101</v>
      </c>
      <c r="B148" s="4">
        <v>4</v>
      </c>
      <c r="C148" s="4" t="s">
        <v>122</v>
      </c>
      <c r="D148" s="4"/>
      <c r="G148" s="2" t="str">
        <f>IF(ISNA(VLOOKUP(A148,allTerms!$A$2:$A$201, 1, FALSE)), "Missing", "Found")</f>
        <v>Found</v>
      </c>
    </row>
    <row r="149" spans="1:7">
      <c r="A149" s="4" t="s">
        <v>141</v>
      </c>
      <c r="B149" s="4">
        <v>4</v>
      </c>
      <c r="C149" s="4" t="s">
        <v>74</v>
      </c>
      <c r="D149" s="4"/>
      <c r="G149" s="2" t="str">
        <f>IF(ISNA(VLOOKUP(A149,allTerms!$A$2:$A$201, 1, FALSE)), "Missing", "Found")</f>
        <v>Found</v>
      </c>
    </row>
    <row r="150" spans="1:7">
      <c r="A150" s="4" t="s">
        <v>120</v>
      </c>
      <c r="B150" s="4">
        <v>4</v>
      </c>
      <c r="C150" s="4" t="s">
        <v>74</v>
      </c>
      <c r="D150" s="4"/>
      <c r="G150" s="2" t="str">
        <f>IF(ISNA(VLOOKUP(A150,allTerms!$A$2:$A$201, 1, FALSE)), "Missing", "Found")</f>
        <v>Found</v>
      </c>
    </row>
    <row r="151" spans="1:7">
      <c r="A151" s="4" t="s">
        <v>124</v>
      </c>
      <c r="B151" s="4">
        <v>4</v>
      </c>
      <c r="C151" s="4" t="s">
        <v>74</v>
      </c>
      <c r="D151" s="4" t="s">
        <v>237</v>
      </c>
      <c r="G151" s="2" t="str">
        <f>IF(ISNA(VLOOKUP(A151,allTerms!$A$2:$A$201, 1, FALSE)), "Missing", "Found")</f>
        <v>Found</v>
      </c>
    </row>
    <row r="152" spans="1:7">
      <c r="A152" s="4" t="s">
        <v>171</v>
      </c>
      <c r="B152" s="4">
        <v>4</v>
      </c>
      <c r="C152" s="4" t="s">
        <v>74</v>
      </c>
      <c r="D152" s="4"/>
      <c r="G152" s="2" t="str">
        <f>IF(ISNA(VLOOKUP(A152,allTerms!$A$2:$A$201, 1, FALSE)), "Missing", "Found")</f>
        <v>Found</v>
      </c>
    </row>
    <row r="153" spans="1:7">
      <c r="A153" s="4" t="s">
        <v>205</v>
      </c>
      <c r="B153" s="4">
        <v>4</v>
      </c>
      <c r="C153" s="4" t="s">
        <v>74</v>
      </c>
      <c r="D153" s="4"/>
      <c r="G153" s="2" t="str">
        <f>IF(ISNA(VLOOKUP(A153,allTerms!$A$2:$A$201, 1, FALSE)), "Missing", "Found")</f>
        <v>Found</v>
      </c>
    </row>
    <row r="154" spans="1:7">
      <c r="A154" s="4" t="s">
        <v>172</v>
      </c>
      <c r="B154" s="4">
        <v>4</v>
      </c>
      <c r="C154" s="4" t="s">
        <v>122</v>
      </c>
      <c r="D154" s="4"/>
      <c r="G154" s="2" t="str">
        <f>IF(ISNA(VLOOKUP(A154,allTerms!$A$2:$A$201, 1, FALSE)), "Missing", "Found")</f>
        <v>Found</v>
      </c>
    </row>
    <row r="155" spans="1:7">
      <c r="A155" s="4" t="s">
        <v>207</v>
      </c>
      <c r="B155" s="4">
        <v>4</v>
      </c>
      <c r="C155" s="4" t="s">
        <v>122</v>
      </c>
      <c r="D155" s="4"/>
      <c r="G155" s="2" t="str">
        <f>IF(ISNA(VLOOKUP(A155,allTerms!$A$2:$A$201, 1, FALSE)), "Missing", "Found")</f>
        <v>Found</v>
      </c>
    </row>
    <row r="156" spans="1:7">
      <c r="A156" s="4" t="s">
        <v>143</v>
      </c>
      <c r="B156" s="4">
        <v>4</v>
      </c>
      <c r="C156" s="4" t="s">
        <v>74</v>
      </c>
      <c r="D156" s="4" t="s">
        <v>238</v>
      </c>
      <c r="G156" s="2" t="str">
        <f>IF(ISNA(VLOOKUP(A156,allTerms!$A$2:$A$201, 1, FALSE)), "Missing", "Found")</f>
        <v>Found</v>
      </c>
    </row>
    <row r="157" spans="1:7">
      <c r="A157" s="4" t="s">
        <v>72</v>
      </c>
      <c r="B157" s="4">
        <v>4</v>
      </c>
      <c r="C157" s="4" t="s">
        <v>74</v>
      </c>
      <c r="D157" s="4"/>
      <c r="G157" s="2" t="str">
        <f>IF(ISNA(VLOOKUP(A157,allTerms!$A$2:$A$201, 1, FALSE)), "Missing", "Found")</f>
        <v>Found</v>
      </c>
    </row>
    <row r="158" spans="1:7">
      <c r="A158" s="4" t="s">
        <v>85</v>
      </c>
      <c r="B158" s="4">
        <v>4</v>
      </c>
      <c r="C158" s="4" t="s">
        <v>74</v>
      </c>
      <c r="D158" s="4"/>
      <c r="G158" s="2" t="str">
        <f>IF(ISNA(VLOOKUP(A158,allTerms!$A$2:$A$201, 1, FALSE)), "Missing", "Found")</f>
        <v>Found</v>
      </c>
    </row>
    <row r="159" spans="1:7">
      <c r="A159" t="s">
        <v>209</v>
      </c>
      <c r="B159">
        <v>4</v>
      </c>
      <c r="C159" t="s">
        <v>74</v>
      </c>
      <c r="G159" s="2" t="str">
        <f>IF(ISNA(VLOOKUP(A159,allTerms!$A$2:$A$201, 1, FALSE)), "Missing", "Found")</f>
        <v>Found</v>
      </c>
    </row>
    <row r="160" spans="1:7">
      <c r="A160" t="s">
        <v>175</v>
      </c>
      <c r="B160">
        <v>4</v>
      </c>
      <c r="C160" t="s">
        <v>122</v>
      </c>
      <c r="D160" t="s">
        <v>239</v>
      </c>
      <c r="G160" s="2" t="str">
        <f>IF(ISNA(VLOOKUP(A160,allTerms!$A$2:$A$201, 1, FALSE)), "Missing", "Found")</f>
        <v>Found</v>
      </c>
    </row>
    <row r="161" spans="1:7">
      <c r="A161" t="s">
        <v>240</v>
      </c>
      <c r="B161">
        <v>4</v>
      </c>
      <c r="C161" t="s">
        <v>74</v>
      </c>
      <c r="D161" s="2" t="s">
        <v>241</v>
      </c>
      <c r="G161" s="2" t="str">
        <f>IF(ISNA(VLOOKUP(A161,allTerms!$A$2:$A$201, 1, FALSE)), "Missing", "Found")</f>
        <v>Missing</v>
      </c>
    </row>
    <row r="162" spans="1:7">
      <c r="A162" t="s">
        <v>76</v>
      </c>
      <c r="B162">
        <v>4</v>
      </c>
      <c r="C162" t="s">
        <v>74</v>
      </c>
      <c r="G162" s="2" t="str">
        <f>IF(ISNA(VLOOKUP(A162,allTerms!$A$2:$A$201, 1, FALSE)), "Missing", "Found")</f>
        <v>Found</v>
      </c>
    </row>
    <row r="163" spans="1:7">
      <c r="A163" t="s">
        <v>131</v>
      </c>
      <c r="B163">
        <v>4</v>
      </c>
      <c r="C163" t="s">
        <v>74</v>
      </c>
      <c r="G163" s="2" t="str">
        <f>IF(ISNA(VLOOKUP(A163,allTerms!$A$2:$A$201, 1, FALSE)), "Missing", "Found")</f>
        <v>Found</v>
      </c>
    </row>
    <row r="164" spans="1:7">
      <c r="A164" t="s">
        <v>242</v>
      </c>
      <c r="B164">
        <v>4</v>
      </c>
      <c r="C164" t="s">
        <v>74</v>
      </c>
      <c r="G164" s="2" t="str">
        <f>IF(ISNA(VLOOKUP(A164,allTerms!$A$2:$A$201, 1, FALSE)), "Missing", "Found")</f>
        <v>Missing</v>
      </c>
    </row>
    <row r="165" spans="1:7">
      <c r="A165" t="s">
        <v>243</v>
      </c>
      <c r="B165">
        <v>4</v>
      </c>
      <c r="C165" t="s">
        <v>74</v>
      </c>
      <c r="G165" s="2" t="str">
        <f>IF(ISNA(VLOOKUP(A165,allTerms!$A$2:$A$201, 1, FALSE)), "Missing", "Found")</f>
        <v>Missing</v>
      </c>
    </row>
    <row r="166" spans="1:7">
      <c r="A166" t="s">
        <v>96</v>
      </c>
      <c r="B166">
        <v>4</v>
      </c>
      <c r="C166" t="s">
        <v>74</v>
      </c>
      <c r="G166" s="2" t="str">
        <f>IF(ISNA(VLOOKUP(A166,allTerms!$A$2:$A$201, 1, FALSE)), "Missing", "Found")</f>
        <v>Found</v>
      </c>
    </row>
    <row r="167" spans="1:7">
      <c r="A167" t="s">
        <v>184</v>
      </c>
      <c r="B167">
        <v>4</v>
      </c>
      <c r="C167" t="s">
        <v>74</v>
      </c>
      <c r="G167" s="2" t="str">
        <f>IF(ISNA(VLOOKUP(A167,allTerms!$A$2:$A$201, 1, FALSE)), "Missing", "Found")</f>
        <v>Found</v>
      </c>
    </row>
    <row r="168" spans="1:7">
      <c r="A168" t="s">
        <v>244</v>
      </c>
      <c r="B168">
        <v>4</v>
      </c>
      <c r="C168" t="s">
        <v>74</v>
      </c>
      <c r="G168" s="2" t="str">
        <f>IF(ISNA(VLOOKUP(A168,allTerms!$A$2:$A$201, 1, FALSE)), "Missing", "Found")</f>
        <v>Missing</v>
      </c>
    </row>
    <row r="169" spans="1:7">
      <c r="A169" t="s">
        <v>185</v>
      </c>
      <c r="B169">
        <v>4</v>
      </c>
      <c r="C169" t="s">
        <v>74</v>
      </c>
      <c r="G169" s="2" t="str">
        <f>IF(ISNA(VLOOKUP(A169,allTerms!$A$2:$A$201, 1, FALSE)), "Missing", "Found")</f>
        <v>Found</v>
      </c>
    </row>
    <row r="170" spans="1:7">
      <c r="A170" t="s">
        <v>245</v>
      </c>
      <c r="B170">
        <v>3</v>
      </c>
      <c r="C170" t="s">
        <v>122</v>
      </c>
      <c r="D170" t="s">
        <v>246</v>
      </c>
      <c r="G170" s="2" t="str">
        <f>IF(ISNA(VLOOKUP(A170,allTerms!$A$2:$A$201, 1, FALSE)), "Missing", "Found")</f>
        <v>Missing</v>
      </c>
    </row>
    <row r="171" spans="1:7">
      <c r="A171" t="s">
        <v>247</v>
      </c>
      <c r="B171">
        <v>3</v>
      </c>
      <c r="C171" t="s">
        <v>74</v>
      </c>
      <c r="G171" s="2" t="str">
        <f>IF(ISNA(VLOOKUP(A171,allTerms!$A$2:$A$201, 1, FALSE)), "Missing", "Found")</f>
        <v>Missing</v>
      </c>
    </row>
    <row r="172" spans="1:7">
      <c r="A172" t="s">
        <v>248</v>
      </c>
      <c r="B172">
        <v>3</v>
      </c>
      <c r="C172" t="s">
        <v>122</v>
      </c>
      <c r="D172" t="s">
        <v>246</v>
      </c>
      <c r="G172" s="2" t="str">
        <f>IF(ISNA(VLOOKUP(A172,allTerms!$A$2:$A$201, 1, FALSE)), "Missing", "Found")</f>
        <v>Missing</v>
      </c>
    </row>
    <row r="173" spans="1:7">
      <c r="A173" t="s">
        <v>249</v>
      </c>
      <c r="B173">
        <v>3</v>
      </c>
      <c r="C173" t="s">
        <v>74</v>
      </c>
      <c r="G173" s="2" t="str">
        <f>IF(ISNA(VLOOKUP(A173,allTerms!$A$2:$A$201, 1, FALSE)), "Missing", "Found")</f>
        <v>Missing</v>
      </c>
    </row>
    <row r="174" spans="1:7">
      <c r="A174" t="s">
        <v>250</v>
      </c>
      <c r="B174">
        <v>3</v>
      </c>
      <c r="C174" t="s">
        <v>122</v>
      </c>
      <c r="D174" t="s">
        <v>246</v>
      </c>
      <c r="G174" s="2" t="str">
        <f>IF(ISNA(VLOOKUP(A174,allTerms!$A$2:$A$201, 1, FALSE)), "Missing", "Found")</f>
        <v>Missing</v>
      </c>
    </row>
    <row r="175" spans="1:7">
      <c r="A175" t="s">
        <v>251</v>
      </c>
      <c r="B175">
        <v>3</v>
      </c>
      <c r="C175" t="s">
        <v>74</v>
      </c>
      <c r="G175" s="2" t="str">
        <f>IF(ISNA(VLOOKUP(A175,allTerms!$A$2:$A$201, 1, FALSE)), "Missing", "Found")</f>
        <v>Missing</v>
      </c>
    </row>
    <row r="176" spans="1:7">
      <c r="A176" t="s">
        <v>193</v>
      </c>
      <c r="B176">
        <v>3</v>
      </c>
      <c r="C176" t="s">
        <v>122</v>
      </c>
      <c r="D176" t="s">
        <v>246</v>
      </c>
      <c r="G176" s="2" t="str">
        <f>IF(ISNA(VLOOKUP(A176,allTerms!$A$2:$A$201, 1, FALSE)), "Missing", "Found")</f>
        <v>Found</v>
      </c>
    </row>
    <row r="177" spans="1:7">
      <c r="A177" t="s">
        <v>252</v>
      </c>
      <c r="B177">
        <v>3</v>
      </c>
      <c r="C177" t="s">
        <v>122</v>
      </c>
      <c r="D177" t="s">
        <v>246</v>
      </c>
      <c r="G177" s="2" t="str">
        <f>IF(ISNA(VLOOKUP(A177,allTerms!$A$2:$A$201, 1, FALSE)), "Missing", "Found")</f>
        <v>Missing</v>
      </c>
    </row>
    <row r="178" spans="1:7">
      <c r="A178" t="s">
        <v>196</v>
      </c>
      <c r="B178">
        <v>3</v>
      </c>
      <c r="C178" t="s">
        <v>122</v>
      </c>
      <c r="D178" t="s">
        <v>246</v>
      </c>
      <c r="G178" s="2" t="str">
        <f>IF(ISNA(VLOOKUP(A178,allTerms!$A$2:$A$201, 1, FALSE)), "Missing", "Found")</f>
        <v>Found</v>
      </c>
    </row>
    <row r="179" spans="1:7">
      <c r="A179" t="s">
        <v>113</v>
      </c>
      <c r="B179">
        <v>3</v>
      </c>
      <c r="C179" t="s">
        <v>122</v>
      </c>
      <c r="G179" s="2" t="str">
        <f>IF(ISNA(VLOOKUP(A179,allTerms!$A$2:$A$201, 1, FALSE)), "Missing", "Found")</f>
        <v>Found</v>
      </c>
    </row>
    <row r="180" spans="1:7">
      <c r="A180" t="s">
        <v>253</v>
      </c>
      <c r="B180">
        <v>3</v>
      </c>
      <c r="C180" t="s">
        <v>122</v>
      </c>
      <c r="G180" s="2" t="str">
        <f>IF(ISNA(VLOOKUP(A180,allTerms!$A$2:$A$201, 1, FALSE)), "Missing", "Found")</f>
        <v>Missing</v>
      </c>
    </row>
    <row r="181" spans="1:7">
      <c r="A181" t="s">
        <v>254</v>
      </c>
      <c r="B181">
        <v>3</v>
      </c>
      <c r="C181" t="s">
        <v>74</v>
      </c>
      <c r="D181" s="2" t="s">
        <v>255</v>
      </c>
      <c r="G181" s="2" t="str">
        <f>IF(ISNA(VLOOKUP(A181,allTerms!$A$2:$A$201, 1, FALSE)), "Missing", "Found")</f>
        <v>Missing</v>
      </c>
    </row>
    <row r="182" spans="1:7">
      <c r="A182" t="s">
        <v>98</v>
      </c>
      <c r="B182">
        <v>3</v>
      </c>
      <c r="C182" t="s">
        <v>74</v>
      </c>
      <c r="G182" s="2" t="str">
        <f>IF(ISNA(VLOOKUP(A182,allTerms!$A$2:$A$201, 1, FALSE)), "Missing", "Found")</f>
        <v>Found</v>
      </c>
    </row>
    <row r="183" spans="1:7">
      <c r="A183" t="s">
        <v>256</v>
      </c>
      <c r="B183">
        <v>3</v>
      </c>
      <c r="C183" t="s">
        <v>122</v>
      </c>
      <c r="D183" t="s">
        <v>246</v>
      </c>
      <c r="G183" s="2" t="str">
        <f>IF(ISNA(VLOOKUP(A183,allTerms!$A$2:$A$201, 1, FALSE)), "Missing", "Found")</f>
        <v>Missing</v>
      </c>
    </row>
    <row r="184" spans="1:7">
      <c r="A184" t="s">
        <v>197</v>
      </c>
      <c r="B184">
        <v>3</v>
      </c>
      <c r="C184" t="s">
        <v>74</v>
      </c>
      <c r="G184" s="2" t="str">
        <f>IF(ISNA(VLOOKUP(A184,allTerms!$A$2:$A$201, 1, FALSE)), "Missing", "Found")</f>
        <v>Found</v>
      </c>
    </row>
    <row r="185" spans="1:7">
      <c r="A185" t="s">
        <v>257</v>
      </c>
      <c r="B185">
        <v>3</v>
      </c>
      <c r="C185" t="s">
        <v>122</v>
      </c>
      <c r="D185" t="s">
        <v>246</v>
      </c>
      <c r="G185" s="2" t="str">
        <f>IF(ISNA(VLOOKUP(A185,allTerms!$A$2:$A$201, 1, FALSE)), "Missing", "Found")</f>
        <v>Missing</v>
      </c>
    </row>
    <row r="186" spans="1:7">
      <c r="A186" t="s">
        <v>258</v>
      </c>
      <c r="B186">
        <v>3</v>
      </c>
      <c r="C186" t="s">
        <v>122</v>
      </c>
      <c r="D186" t="s">
        <v>246</v>
      </c>
      <c r="G186" s="2" t="str">
        <f>IF(ISNA(VLOOKUP(A186,allTerms!$A$2:$A$201, 1, FALSE)), "Missing", "Found")</f>
        <v>Missing</v>
      </c>
    </row>
    <row r="187" spans="1:7">
      <c r="A187" t="s">
        <v>164</v>
      </c>
      <c r="B187">
        <v>3</v>
      </c>
      <c r="C187" t="s">
        <v>74</v>
      </c>
      <c r="D187" s="2" t="s">
        <v>255</v>
      </c>
      <c r="G187" s="2" t="str">
        <f>IF(ISNA(VLOOKUP(A187,allTerms!$A$2:$A$201, 1, FALSE)), "Missing", "Found")</f>
        <v>Found</v>
      </c>
    </row>
    <row r="188" spans="1:7">
      <c r="A188" t="s">
        <v>198</v>
      </c>
      <c r="B188">
        <v>3</v>
      </c>
      <c r="C188" t="s">
        <v>74</v>
      </c>
      <c r="G188" s="2" t="str">
        <f>IF(ISNA(VLOOKUP(A188,allTerms!$A$2:$A$201, 1, FALSE)), "Missing", "Found")</f>
        <v>Found</v>
      </c>
    </row>
    <row r="189" spans="1:7">
      <c r="A189" t="s">
        <v>259</v>
      </c>
      <c r="B189">
        <v>3</v>
      </c>
      <c r="C189" t="s">
        <v>122</v>
      </c>
      <c r="D189" t="s">
        <v>246</v>
      </c>
      <c r="G189" s="2" t="str">
        <f>IF(ISNA(VLOOKUP(A189,allTerms!$A$2:$A$201, 1, FALSE)), "Missing", "Found")</f>
        <v>Missing</v>
      </c>
    </row>
    <row r="190" spans="1:7">
      <c r="A190" t="s">
        <v>116</v>
      </c>
      <c r="B190">
        <v>3</v>
      </c>
      <c r="C190" t="s">
        <v>74</v>
      </c>
      <c r="G190" s="2" t="str">
        <f>IF(ISNA(VLOOKUP(A190,allTerms!$A$2:$A$201, 1, FALSE)), "Missing", "Found")</f>
        <v>Found</v>
      </c>
    </row>
    <row r="191" spans="1:7">
      <c r="A191" t="s">
        <v>260</v>
      </c>
      <c r="B191">
        <v>3</v>
      </c>
      <c r="C191" t="s">
        <v>74</v>
      </c>
      <c r="G191" s="2" t="str">
        <f>IF(ISNA(VLOOKUP(A191,allTerms!$A$2:$A$201, 1, FALSE)), "Missing", "Found")</f>
        <v>Missing</v>
      </c>
    </row>
    <row r="192" spans="1:7">
      <c r="A192" t="s">
        <v>261</v>
      </c>
      <c r="B192">
        <v>3</v>
      </c>
      <c r="C192" t="s">
        <v>122</v>
      </c>
      <c r="D192" t="s">
        <v>246</v>
      </c>
      <c r="G192" s="2" t="str">
        <f>IF(ISNA(VLOOKUP(A192,allTerms!$A$2:$A$201, 1, FALSE)), "Missing", "Found")</f>
        <v>Missing</v>
      </c>
    </row>
    <row r="193" spans="1:7">
      <c r="A193" t="s">
        <v>262</v>
      </c>
      <c r="B193">
        <v>3</v>
      </c>
      <c r="C193" t="s">
        <v>122</v>
      </c>
      <c r="D193" t="s">
        <v>246</v>
      </c>
      <c r="G193" s="2" t="str">
        <f>IF(ISNA(VLOOKUP(A193,allTerms!$A$2:$A$201, 1, FALSE)), "Missing", "Found")</f>
        <v>Missing</v>
      </c>
    </row>
    <row r="194" spans="1:7">
      <c r="A194" t="s">
        <v>263</v>
      </c>
      <c r="B194">
        <v>3</v>
      </c>
      <c r="C194" t="s">
        <v>74</v>
      </c>
      <c r="G194" s="2" t="str">
        <f>IF(ISNA(VLOOKUP(A194,allTerms!$A$2:$A$201, 1, FALSE)), "Missing", "Found")</f>
        <v>Missing</v>
      </c>
    </row>
    <row r="195" spans="1:7">
      <c r="A195" t="s">
        <v>264</v>
      </c>
      <c r="B195">
        <v>3</v>
      </c>
      <c r="C195" t="s">
        <v>122</v>
      </c>
      <c r="D195" t="s">
        <v>246</v>
      </c>
      <c r="G195" s="2" t="str">
        <f>IF(ISNA(VLOOKUP(A195,allTerms!$A$2:$A$201, 1, FALSE)), "Missing", "Found")</f>
        <v>Missing</v>
      </c>
    </row>
    <row r="196" spans="1:7">
      <c r="A196" t="s">
        <v>265</v>
      </c>
      <c r="B196">
        <v>3</v>
      </c>
      <c r="C196" t="s">
        <v>74</v>
      </c>
      <c r="D196" s="2" t="s">
        <v>255</v>
      </c>
      <c r="G196" s="2" t="str">
        <f>IF(ISNA(VLOOKUP(A196,allTerms!$A$2:$A$201, 1, FALSE)), "Missing", "Found")</f>
        <v>Missing</v>
      </c>
    </row>
    <row r="197" spans="1:7">
      <c r="A197" t="s">
        <v>117</v>
      </c>
      <c r="B197">
        <v>3</v>
      </c>
      <c r="C197" t="s">
        <v>74</v>
      </c>
      <c r="G197" s="2" t="str">
        <f>IF(ISNA(VLOOKUP(A197,allTerms!$A$2:$A$201, 1, FALSE)), "Missing", "Found")</f>
        <v>Found</v>
      </c>
    </row>
    <row r="198" spans="1:7">
      <c r="A198" t="s">
        <v>266</v>
      </c>
      <c r="B198">
        <v>3</v>
      </c>
      <c r="C198" t="s">
        <v>74</v>
      </c>
      <c r="G198" s="2" t="str">
        <f>IF(ISNA(VLOOKUP(A198,allTerms!$A$2:$A$201, 1, FALSE)), "Missing", "Found")</f>
        <v>Missing</v>
      </c>
    </row>
    <row r="199" spans="1:7">
      <c r="A199" t="s">
        <v>202</v>
      </c>
      <c r="B199">
        <v>3</v>
      </c>
      <c r="C199" t="s">
        <v>74</v>
      </c>
      <c r="G199" s="2" t="str">
        <f>IF(ISNA(VLOOKUP(A199,allTerms!$A$2:$A$201, 1, FALSE)), "Missing", "Found")</f>
        <v>Found</v>
      </c>
    </row>
    <row r="200" spans="1:7">
      <c r="A200" t="s">
        <v>267</v>
      </c>
      <c r="B200">
        <v>3</v>
      </c>
      <c r="C200" t="s">
        <v>122</v>
      </c>
      <c r="D200" t="s">
        <v>246</v>
      </c>
      <c r="G200" s="2" t="str">
        <f>IF(ISNA(VLOOKUP(A200,allTerms!$A$2:$A$201, 1, FALSE)), "Missing", "Found")</f>
        <v>Missing</v>
      </c>
    </row>
    <row r="201" spans="1:7">
      <c r="A201" t="s">
        <v>268</v>
      </c>
      <c r="B201">
        <v>3</v>
      </c>
      <c r="C201" t="s">
        <v>74</v>
      </c>
      <c r="G201" s="2" t="str">
        <f>IF(ISNA(VLOOKUP(A201,allTerms!$A$2:$A$201, 1, FALSE)), "Missing", "Found")</f>
        <v>Missing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862f0-9395-4853-b7a9-7da7bcd5d9ba">
      <Terms xmlns="http://schemas.microsoft.com/office/infopath/2007/PartnerControls"/>
    </lcf76f155ced4ddcb4097134ff3c332f>
    <TaxCatchAll xmlns="e8cffc40-4e0d-4580-ab58-2b050892d42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85CB7E1871B845818E66F8485A062E" ma:contentTypeVersion="12" ma:contentTypeDescription="Create a new document." ma:contentTypeScope="" ma:versionID="70c207f618da1b7ebca58b0d15dd5345">
  <xsd:schema xmlns:xsd="http://www.w3.org/2001/XMLSchema" xmlns:xs="http://www.w3.org/2001/XMLSchema" xmlns:p="http://schemas.microsoft.com/office/2006/metadata/properties" xmlns:ns2="bdf862f0-9395-4853-b7a9-7da7bcd5d9ba" xmlns:ns3="e8cffc40-4e0d-4580-ab58-2b050892d42e" targetNamespace="http://schemas.microsoft.com/office/2006/metadata/properties" ma:root="true" ma:fieldsID="30bc4ba5e6675fe3e7e950f97098ec87" ns2:_="" ns3:_="">
    <xsd:import namespace="bdf862f0-9395-4853-b7a9-7da7bcd5d9ba"/>
    <xsd:import namespace="e8cffc40-4e0d-4580-ab58-2b050892d4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862f0-9395-4853-b7a9-7da7bcd5d9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eb059ca-7a6c-48b4-989a-ff4079574b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cffc40-4e0d-4580-ab58-2b050892d42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ac0d2dc-9969-4894-a02e-664e878d2d0f}" ma:internalName="TaxCatchAll" ma:showField="CatchAllData" ma:web="e8cffc40-4e0d-4580-ab58-2b050892d4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4C0DC2-B6BB-4E36-BE5B-914F3B8B9B19}"/>
</file>

<file path=customXml/itemProps2.xml><?xml version="1.0" encoding="utf-8"?>
<ds:datastoreItem xmlns:ds="http://schemas.openxmlformats.org/officeDocument/2006/customXml" ds:itemID="{5FCFB5DE-561B-4604-ADEB-5D0535FBDF8E}"/>
</file>

<file path=customXml/itemProps3.xml><?xml version="1.0" encoding="utf-8"?>
<ds:datastoreItem xmlns:ds="http://schemas.openxmlformats.org/officeDocument/2006/customXml" ds:itemID="{0167B5AF-5862-4941-83C1-F4B46DF296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2026-06-30T19:56:19Z</dcterms:created>
  <dcterms:modified xsi:type="dcterms:W3CDTF">2026-07-24T11:17:10Z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0x0101002885CB7E1871B845818E66F8485A062E</vt:lpwstr>
  </property>
  <property fmtid="{D5CDD505-2E9C-101B-9397-08002B2CF9AE}" pid="3" name="MediaServiceImageTags">
    <vt:lpwstr/>
  </property>
</Properties>
</file>